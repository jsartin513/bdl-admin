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  <sheet name="Schedule Generator" sheetId="2" r:id="rId2"/>
    <sheet name="League Standings" sheetId="3" r:id="rId3"/>
    <sheet name="Week 1 Schedule" sheetId="4" r:id="rId4"/>
    <sheet name="Week 2 Schedule" sheetId="5" r:id="rId5"/>
    <sheet name="Week 3 Schedule" sheetId="6" r:id="rId6"/>
    <sheet name="Week 4 Schedule" sheetId="7" r:id="rId7"/>
    <sheet name="Week 5 Schedule" sheetId="8" r:id="rId8"/>
    <sheet name="Week 6 Schedule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Team Names</v>
      </c>
      <c r="C1" t="str">
        <v>Biker Gang</v>
      </c>
      <c r="D1" t="str">
        <v>Boop Boop</v>
      </c>
      <c r="E1" t="str">
        <v>Most Improved</v>
      </c>
      <c r="F1" t="str">
        <v>Boston T Party</v>
      </c>
      <c r="G1" t="str">
        <v>Left Corners</v>
      </c>
      <c r="H1" t="str">
        <v>Big Bugs</v>
      </c>
      <c r="I1" t="str">
        <v>Free Agents of Chaos</v>
      </c>
      <c r="J1" t="str">
        <v>Cash Only</v>
      </c>
    </row>
    <row r="2">
      <c r="A2" t="str">
        <v>Schedule format</v>
      </c>
      <c r="B2" t="str">
        <v>team-ref</v>
      </c>
    </row>
    <row r="3">
      <c r="A3" t="str">
        <v>League</v>
      </c>
      <c r="B3" t="str">
        <v>Eight Team Team-Ref League</v>
      </c>
    </row>
  </sheetData>
  <pageMargins left="0.75" right="0.75" top="1" bottom="1" header="0" footer="0"/>
  <ignoredErrors>
    <ignoredError numberStoredAsText="1" sqref="A1:J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2">
      <c r="B2" t="str">
        <v>Biker Gang</v>
      </c>
      <c r="C2" t="str">
        <v>Boop Boop</v>
      </c>
      <c r="D2" t="str">
        <v>Most Improved</v>
      </c>
      <c r="E2" t="str">
        <v>Boston T Party</v>
      </c>
      <c r="F2" t="str">
        <v>Left Corners</v>
      </c>
      <c r="G2" t="str">
        <v>Big Bugs</v>
      </c>
      <c r="H2" t="str">
        <v>Free Agents of Chaos</v>
      </c>
      <c r="I2" t="str">
        <v>Cash Only</v>
      </c>
    </row>
    <row r="3">
      <c r="A3" t="str">
        <v>Biker Gang</v>
      </c>
      <c r="B3" t="str">
        <v>-</v>
      </c>
      <c r="C3">
        <v>9</v>
      </c>
      <c r="D3">
        <v>9</v>
      </c>
      <c r="E3">
        <v>9</v>
      </c>
      <c r="F3">
        <v>9</v>
      </c>
      <c r="G3">
        <v>8</v>
      </c>
      <c r="H3">
        <v>8</v>
      </c>
      <c r="I3">
        <v>8</v>
      </c>
    </row>
    <row r="4">
      <c r="A4" t="str">
        <v>Boop Boop</v>
      </c>
      <c r="B4">
        <v>9</v>
      </c>
      <c r="C4" t="str">
        <v>-</v>
      </c>
      <c r="D4">
        <v>9</v>
      </c>
      <c r="E4">
        <v>9</v>
      </c>
      <c r="F4">
        <v>8</v>
      </c>
      <c r="G4">
        <v>9</v>
      </c>
      <c r="H4">
        <v>8</v>
      </c>
      <c r="I4">
        <v>8</v>
      </c>
    </row>
    <row r="5">
      <c r="A5" t="str">
        <v>Most Improved</v>
      </c>
      <c r="B5">
        <v>9</v>
      </c>
      <c r="C5">
        <v>9</v>
      </c>
      <c r="D5" t="str">
        <v>-</v>
      </c>
      <c r="E5">
        <v>8</v>
      </c>
      <c r="F5">
        <v>9</v>
      </c>
      <c r="G5">
        <v>8</v>
      </c>
      <c r="H5">
        <v>9</v>
      </c>
      <c r="I5">
        <v>8</v>
      </c>
    </row>
    <row r="6">
      <c r="A6" t="str">
        <v>Boston T Party</v>
      </c>
      <c r="B6">
        <v>9</v>
      </c>
      <c r="C6">
        <v>9</v>
      </c>
      <c r="D6">
        <v>8</v>
      </c>
      <c r="E6" t="str">
        <v>-</v>
      </c>
      <c r="F6">
        <v>8</v>
      </c>
      <c r="G6">
        <v>9</v>
      </c>
      <c r="H6">
        <v>8</v>
      </c>
      <c r="I6">
        <v>9</v>
      </c>
    </row>
    <row r="7">
      <c r="A7" t="str">
        <v>Left Corners</v>
      </c>
      <c r="B7">
        <v>9</v>
      </c>
      <c r="C7">
        <v>8</v>
      </c>
      <c r="D7">
        <v>9</v>
      </c>
      <c r="E7">
        <v>8</v>
      </c>
      <c r="F7" t="str">
        <v>-</v>
      </c>
      <c r="G7">
        <v>8</v>
      </c>
      <c r="H7">
        <v>9</v>
      </c>
      <c r="I7">
        <v>9</v>
      </c>
    </row>
    <row r="8">
      <c r="A8" t="str">
        <v>Big Bugs</v>
      </c>
      <c r="B8">
        <v>8</v>
      </c>
      <c r="C8">
        <v>9</v>
      </c>
      <c r="D8">
        <v>8</v>
      </c>
      <c r="E8">
        <v>9</v>
      </c>
      <c r="F8">
        <v>8</v>
      </c>
      <c r="G8" t="str">
        <v>-</v>
      </c>
      <c r="H8">
        <v>9</v>
      </c>
      <c r="I8">
        <v>9</v>
      </c>
    </row>
    <row r="9">
      <c r="A9" t="str">
        <v>Free Agents of Chaos</v>
      </c>
      <c r="B9">
        <v>8</v>
      </c>
      <c r="C9">
        <v>8</v>
      </c>
      <c r="D9">
        <v>9</v>
      </c>
      <c r="E9">
        <v>8</v>
      </c>
      <c r="F9">
        <v>9</v>
      </c>
      <c r="G9">
        <v>9</v>
      </c>
      <c r="H9" t="str">
        <v>-</v>
      </c>
      <c r="I9">
        <v>9</v>
      </c>
    </row>
    <row r="10">
      <c r="A10" t="str">
        <v>Cash Only</v>
      </c>
      <c r="B10">
        <v>8</v>
      </c>
      <c r="C10">
        <v>8</v>
      </c>
      <c r="D10">
        <v>8</v>
      </c>
      <c r="E10">
        <v>9</v>
      </c>
      <c r="F10">
        <v>9</v>
      </c>
      <c r="G10">
        <v>9</v>
      </c>
      <c r="H10">
        <v>9</v>
      </c>
      <c r="I10" t="str">
        <v>-</v>
      </c>
    </row>
  </sheetData>
  <pageMargins left="0.75" right="0.75" top="1" bottom="1" header="0" footer="0"/>
  <ignoredErrors>
    <ignoredError numberStoredAsText="1" sqref="A1:I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LEAGUE STANDINGS</v>
      </c>
    </row>
    <row r="2">
      <c r="A2" t="str">
        <v>Team Name</v>
      </c>
      <c r="B2" t="str">
        <v>Points For</v>
      </c>
      <c r="C2" t="str">
        <v>Points Against</v>
      </c>
      <c r="D2" t="str">
        <v>Point Differential</v>
      </c>
    </row>
    <row r="3">
      <c r="A3" t="str">
        <f t="array" ref="A3">INDEX(A17:A24,MATCH(ROUND(LARGE(C17:C24,1),8),C17:C24,0))</f>
        <v>#REF!</v>
      </c>
      <c r="B3" t="str">
        <f t="array" ref="B3">INDEX(B17:B24,MATCH(ROUND(LARGE(C17:C24,1),8),C17:C24,0))</f>
        <v>#REF!</v>
      </c>
      <c r="C3" t="str">
        <f t="array" ref="C3">INDEX(E17:E24,MATCH(ROUND(LARGE(C17:C24,1),8),C17:C24,0))</f>
        <v>#REF!</v>
      </c>
      <c r="D3" t="str">
        <f>B3-C3</f>
        <v>#REF!</v>
      </c>
    </row>
    <row r="4">
      <c r="A4" t="str">
        <f t="array" ref="A4">INDEX(A17:A24,MATCH(ROUND(LARGE(C17:C24,2),8),C17:C24,0))</f>
        <v>#REF!</v>
      </c>
      <c r="B4" t="str">
        <f t="array" ref="B4">INDEX(B17:B24,MATCH(ROUND(LARGE(C17:C24,2),8),C17:C24,0))</f>
        <v>#REF!</v>
      </c>
      <c r="C4" t="str">
        <f t="array" ref="C4">INDEX(E17:E24,MATCH(ROUND(LARGE(C17:C24,2),8),C17:C24,0))</f>
        <v>#REF!</v>
      </c>
      <c r="D4" t="str">
        <f>B4-C4</f>
        <v>#REF!</v>
      </c>
    </row>
    <row r="5">
      <c r="A5" t="str">
        <f t="array" ref="A5">INDEX(A17:A24,MATCH(ROUND(LARGE(C17:C24,3),8),C17:C24,0))</f>
        <v>#REF!</v>
      </c>
      <c r="B5" t="str">
        <f t="array" ref="B5">INDEX(B17:B24,MATCH(ROUND(LARGE(C17:C24,3),8),C17:C24,0))</f>
        <v>#REF!</v>
      </c>
      <c r="C5" t="str">
        <f t="array" ref="C5">INDEX(E17:E24,MATCH(ROUND(LARGE(C17:C24,3),8),C17:C24,0))</f>
        <v>#REF!</v>
      </c>
      <c r="D5" t="str">
        <f>B5-C5</f>
        <v>#REF!</v>
      </c>
    </row>
    <row r="6">
      <c r="A6" t="str">
        <f t="array" ref="A6">INDEX(A17:A24,MATCH(ROUND(LARGE(C17:C24,4),8),C17:C24,0))</f>
        <v>#REF!</v>
      </c>
      <c r="B6" t="str">
        <f t="array" ref="B6">INDEX(B17:B24,MATCH(ROUND(LARGE(C17:C24,4),8),C17:C24,0))</f>
        <v>#REF!</v>
      </c>
      <c r="C6" t="str">
        <f t="array" ref="C6">INDEX(E17:E24,MATCH(ROUND(LARGE(C17:C24,4),8),C17:C24,0))</f>
        <v>#REF!</v>
      </c>
      <c r="D6" t="str">
        <f>B6-C6</f>
        <v>#REF!</v>
      </c>
    </row>
    <row r="7">
      <c r="A7" t="str">
        <f t="array" ref="A7">INDEX(A17:A24,MATCH(ROUND(LARGE(C17:C24,5),8),C17:C24,0))</f>
        <v>#REF!</v>
      </c>
      <c r="B7" t="str">
        <f t="array" ref="B7">INDEX(B17:B24,MATCH(ROUND(LARGE(C17:C24,5),8),C17:C24,0))</f>
        <v>#REF!</v>
      </c>
      <c r="C7" t="str">
        <f t="array" ref="C7">INDEX(E17:E24,MATCH(ROUND(LARGE(C17:C24,5),8),C17:C24,0))</f>
        <v>#REF!</v>
      </c>
      <c r="D7" t="str">
        <f>B7-C7</f>
        <v>#REF!</v>
      </c>
    </row>
    <row r="8">
      <c r="A8" t="str">
        <f t="array" ref="A8">INDEX(A17:A24,MATCH(ROUND(LARGE(C17:C24,6),8),C17:C24,0))</f>
        <v>#REF!</v>
      </c>
      <c r="B8" t="str">
        <f t="array" ref="B8">INDEX(B17:B24,MATCH(ROUND(LARGE(C17:C24,6),8),C17:C24,0))</f>
        <v>#REF!</v>
      </c>
      <c r="C8" t="str">
        <f t="array" ref="C8">INDEX(E17:E24,MATCH(ROUND(LARGE(C17:C24,6),8),C17:C24,0))</f>
        <v>#REF!</v>
      </c>
      <c r="D8" t="str">
        <f>B8-C8</f>
        <v>#REF!</v>
      </c>
    </row>
    <row r="9">
      <c r="A9" t="str">
        <f t="array" ref="A9">INDEX(A17:A24,MATCH(ROUND(LARGE(C17:C24,7),8),C17:C24,0))</f>
        <v>#REF!</v>
      </c>
      <c r="B9" t="str">
        <f t="array" ref="B9">INDEX(B17:B24,MATCH(ROUND(LARGE(C17:C24,7),8),C17:C24,0))</f>
        <v>#REF!</v>
      </c>
      <c r="C9" t="str">
        <f t="array" ref="C9">INDEX(E17:E24,MATCH(ROUND(LARGE(C17:C24,7),8),C17:C24,0))</f>
        <v>#REF!</v>
      </c>
      <c r="D9" t="str">
        <f>B9-C9</f>
        <v>#REF!</v>
      </c>
    </row>
    <row r="10">
      <c r="A10" t="str">
        <f t="array" ref="A10">INDEX(A17:A24,MATCH(ROUND(LARGE(C17:C24,8),8),C17:C24,0))</f>
        <v>#REF!</v>
      </c>
      <c r="B10" t="str">
        <f t="array" ref="B10">INDEX(B17:B24,MATCH(ROUND(LARGE(C17:C24,8),8),C17:C24,0))</f>
        <v>#REF!</v>
      </c>
      <c r="C10" t="str">
        <f t="array" ref="C10">INDEX(E17:E24,MATCH(ROUND(LARGE(C17:C24,8),8),C17:C24,0))</f>
        <v>#REF!</v>
      </c>
      <c r="D10" t="str">
        <f>B10-C10</f>
        <v>#REF!</v>
      </c>
    </row>
    <row r="11">
      <c r="A11" t="str">
        <v>Week #</v>
      </c>
      <c r="B11">
        <v>0</v>
      </c>
    </row>
    <row r="16">
      <c r="A16" t="str">
        <v>Teams</v>
      </c>
      <c r="B16" t="str">
        <v>Wins</v>
      </c>
      <c r="E16" t="str">
        <v>Losses</v>
      </c>
    </row>
    <row r="17">
      <c r="A17" t="str">
        <v>Biker Gang</v>
      </c>
      <c r="B17" t="str">
        <f>'Week 1 Schedule'!B46+'Week 2 Schedule'!B46+'Week 3 Schedule'!B46+'Week 4 Schedule'!B46+'Week 5 Schedule'!B46+'Week 6 Schedule'!B46</f>
        <v>#REF!</v>
      </c>
      <c r="C17" t="str">
        <f>ROUND(B17+17/10000,8)</f>
        <v>#REF!</v>
      </c>
      <c r="E17">
        <f>'Week 1 Schedule'!C46+'Week 2 Schedule'!C46+'Week 3 Schedule'!C46+'Week 4 Schedule'!C46+'Week 5 Schedule'!C46+'Week 6 Schedule'!C46</f>
        <v>0</v>
      </c>
    </row>
    <row r="18">
      <c r="A18" t="str">
        <v>Boop Boop</v>
      </c>
      <c r="B18" t="str">
        <f>'Week 1 Schedule'!B47+'Week 2 Schedule'!B47+'Week 3 Schedule'!B47+'Week 4 Schedule'!B47+'Week 5 Schedule'!B47+'Week 6 Schedule'!B47</f>
        <v>#REF!</v>
      </c>
      <c r="C18" t="str">
        <f>ROUND(B18+18/10000,8)</f>
        <v>#REF!</v>
      </c>
      <c r="E18">
        <f>'Week 1 Schedule'!C47+'Week 2 Schedule'!C47+'Week 3 Schedule'!C47+'Week 4 Schedule'!C47+'Week 5 Schedule'!C47+'Week 6 Schedule'!C47</f>
        <v>0</v>
      </c>
    </row>
    <row r="19">
      <c r="A19" t="str">
        <v>Most Improved</v>
      </c>
      <c r="B19" t="str">
        <f>'Week 1 Schedule'!B48+'Week 2 Schedule'!B48+'Week 3 Schedule'!B48+'Week 4 Schedule'!B48+'Week 5 Schedule'!B48+'Week 6 Schedule'!B48</f>
        <v>#REF!</v>
      </c>
      <c r="C19" t="str">
        <f>ROUND(B19+19/10000,8)</f>
        <v>#REF!</v>
      </c>
      <c r="E19">
        <f>'Week 1 Schedule'!C48+'Week 2 Schedule'!C48+'Week 3 Schedule'!C48+'Week 4 Schedule'!C48+'Week 5 Schedule'!C48+'Week 6 Schedule'!C48</f>
        <v>0</v>
      </c>
    </row>
    <row r="20">
      <c r="A20" t="str">
        <v>Boston T Party</v>
      </c>
      <c r="B20" t="str">
        <f>'Week 1 Schedule'!B49+'Week 2 Schedule'!B49+'Week 3 Schedule'!B49+'Week 4 Schedule'!B49+'Week 5 Schedule'!B49+'Week 6 Schedule'!B49</f>
        <v>#REF!</v>
      </c>
      <c r="C20" t="str">
        <f>ROUND(B20+20/10000,8)</f>
        <v>#REF!</v>
      </c>
      <c r="E20">
        <f>'Week 1 Schedule'!C49+'Week 2 Schedule'!C49+'Week 3 Schedule'!C49+'Week 4 Schedule'!C49+'Week 5 Schedule'!C49+'Week 6 Schedule'!C49</f>
        <v>0</v>
      </c>
    </row>
    <row r="21">
      <c r="A21" t="str">
        <v>Left Corners</v>
      </c>
      <c r="B21" t="str">
        <f>'Week 1 Schedule'!B50+'Week 2 Schedule'!B50+'Week 3 Schedule'!B50+'Week 4 Schedule'!B50+'Week 5 Schedule'!B50+'Week 6 Schedule'!B50</f>
        <v>#REF!</v>
      </c>
      <c r="C21" t="str">
        <f>ROUND(B21+21/10000,8)</f>
        <v>#REF!</v>
      </c>
      <c r="E21">
        <f>'Week 1 Schedule'!C50+'Week 2 Schedule'!C50+'Week 3 Schedule'!C50+'Week 4 Schedule'!C50+'Week 5 Schedule'!C50+'Week 6 Schedule'!C50</f>
        <v>0</v>
      </c>
    </row>
    <row r="22">
      <c r="A22" t="str">
        <v>Big Bugs</v>
      </c>
      <c r="B22" t="str">
        <f>'Week 1 Schedule'!B51+'Week 2 Schedule'!B51+'Week 3 Schedule'!B51+'Week 4 Schedule'!B51+'Week 5 Schedule'!B51+'Week 6 Schedule'!B51</f>
        <v>#REF!</v>
      </c>
      <c r="C22" t="str">
        <f>ROUND(B22+22/10000,8)</f>
        <v>#REF!</v>
      </c>
      <c r="E22">
        <f>'Week 1 Schedule'!C51+'Week 2 Schedule'!C51+'Week 3 Schedule'!C51+'Week 4 Schedule'!C51+'Week 5 Schedule'!C51+'Week 6 Schedule'!C51</f>
        <v>0</v>
      </c>
    </row>
    <row r="23">
      <c r="A23" t="str">
        <v>Free Agents of Chaos</v>
      </c>
      <c r="B23" t="str">
        <f>'Week 1 Schedule'!B52+'Week 2 Schedule'!B52+'Week 3 Schedule'!B52+'Week 4 Schedule'!B52+'Week 5 Schedule'!B52+'Week 6 Schedule'!B52</f>
        <v>#REF!</v>
      </c>
      <c r="C23" t="str">
        <f>ROUND(B23+23/10000,8)</f>
        <v>#REF!</v>
      </c>
      <c r="E23">
        <f>'Week 1 Schedule'!C52+'Week 2 Schedule'!C52+'Week 3 Schedule'!C52+'Week 4 Schedule'!C52+'Week 5 Schedule'!C52+'Week 6 Schedule'!C52</f>
        <v>0</v>
      </c>
    </row>
    <row r="24">
      <c r="A24" t="str">
        <v>Cash Only</v>
      </c>
      <c r="B24" t="str">
        <f>'Week 1 Schedule'!B53+'Week 2 Schedule'!B53+'Week 3 Schedule'!B53+'Week 4 Schedule'!B53+'Week 5 Schedule'!B53+'Week 6 Schedule'!B53</f>
        <v>#REF!</v>
      </c>
      <c r="C24" t="str">
        <f>ROUND(B24+24/10000,8)</f>
        <v>#REF!</v>
      </c>
      <c r="E24">
        <f>'Week 1 Schedule'!C53+'Week 2 Schedule'!C53+'Week 3 Schedule'!C53+'Week 4 Schedule'!C53+'Week 5 Schedule'!C53+'Week 6 Schedule'!C53</f>
        <v>0</v>
      </c>
    </row>
    <row r="27">
      <c r="A27" t="str">
        <v>Head-to-head wins (row vs column; higher score wins the game)</v>
      </c>
    </row>
    <row r="28">
      <c r="B28" t="str">
        <v>Biker Gang</v>
      </c>
      <c r="C28" t="str">
        <v>Boop Boop</v>
      </c>
      <c r="D28" t="str">
        <v>Most Improved</v>
      </c>
      <c r="E28" t="str">
        <v>Boston T Party</v>
      </c>
      <c r="F28" t="str">
        <v>Left Corners</v>
      </c>
      <c r="G28" t="str">
        <v>Big Bugs</v>
      </c>
      <c r="H28" t="str">
        <v>Free Agents of Chaos</v>
      </c>
      <c r="I28" t="str">
        <v>Cash Only</v>
      </c>
    </row>
    <row r="29">
      <c r="A29" t="str">
        <v>Biker Gang</v>
      </c>
      <c r="B29" t="str">
        <v>—</v>
      </c>
      <c r="C29" t="str">
        <f>(SUMPRODUCT(--('Week 1 Schedule'!$B$2:$B$500=$A29),--('Week 1 Schedule'!$D$2:$D$500=$C$28),--('Week 1 Schedule'!$C$2:$C$500&gt;'Week 1 Schedule'!$E$2:$E$500))+SUMPRODUCT(--('Week 1 Schedule'!$B$2:$B$500=$C$28),--('Week 1 Schedule'!$D$2:$D$500=$A29),--('Week 1 Schedule'!$E$2:$E$500&gt;'Week 1 Schedule'!$C$2:$C$500)))+(SUMPRODUCT(--('Week 1 Schedule'!$G$2:$G$500=$A29),--('Week 1 Schedule'!$I$2:$I$500=$C$28),--('Week 1 Schedule'!$H$2:$H$500&gt;'Week 1 Schedule'!$J$2:$J$500))+SUMPRODUCT(--('Week 1 Schedule'!$G$2:$G$500=$C$28),--('Week 1 Schedule'!$I$2:$I$500=$A29),--('Week 1 Schedule'!$J$2:$J$500&gt;'Week 1 Schedule'!$H$2:$H$500)))+(SUMPRODUCT(--('Week 2 Schedule'!$B$2:$B$500=$A29),--('Week 2 Schedule'!$D$2:$D$500=$C$28),--('Week 2 Schedule'!$C$2:$C$500&gt;'Week 2 Schedule'!$E$2:$E$500))+SUMPRODUCT(--('Week 2 Schedule'!$B$2:$B$500=$C$28),--('Week 2 Schedule'!$D$2:$D$500=$A29),--('Week 2 Schedule'!$E$2:$E$500&gt;'Week 2 Schedule'!$C$2:$C$500)))+(SUMPRODUCT(--('Week 2 Schedule'!$G$2:$G$500=$A29),--('Week 2 Schedule'!$I$2:$I$500=$C$28),--('Week 2 Schedule'!$H$2:$H$500&gt;'Week 2 Schedule'!$J$2:$J$500))+SUMPRODUCT(--('Week 2 Schedule'!$G$2:$G$500=$C$28),--('Week 2 Schedule'!$I$2:$I$500=$A29),--('Week 2 Schedule'!$J$2:$J$500&gt;'Week 2 Schedule'!$H$2:$H$500)))+(SUMPRODUCT(--('Week 3 Schedule'!$B$2:$B$500=$A29),--('Week 3 Schedule'!$D$2:$D$500=$C$28),--('Week 3 Schedule'!$C$2:$C$500&gt;'Week 3 Schedule'!$E$2:$E$500))+SUMPRODUCT(--('Week 3 Schedule'!$B$2:$B$500=$C$28),--('Week 3 Schedule'!$D$2:$D$500=$A29),--('Week 3 Schedule'!$E$2:$E$500&gt;'Week 3 Schedule'!$C$2:$C$500)))+(SUMPRODUCT(--('Week 3 Schedule'!$G$2:$G$500=$A29),--('Week 3 Schedule'!$I$2:$I$500=$C$28),--('Week 3 Schedule'!$H$2:$H$500&gt;'Week 3 Schedule'!$J$2:$J$500))+SUMPRODUCT(--('Week 3 Schedule'!$G$2:$G$500=$C$28),--('Week 3 Schedule'!$I$2:$I$500=$A29),--('Week 3 Schedule'!$J$2:$J$500&gt;'Week 3 Schedule'!$H$2:$H$500)))+(SUMPRODUCT(--('Week 4 Schedule'!$B$2:$B$500=$A29),--('Week 4 Schedule'!$D$2:$D$500=$C$28),--('Week 4 Schedule'!$C$2:$C$500&gt;'Week 4 Schedule'!$E$2:$E$500))+SUMPRODUCT(--('Week 4 Schedule'!$B$2:$B$500=$C$28),--('Week 4 Schedule'!$D$2:$D$500=$A29),--('Week 4 Schedule'!$E$2:$E$500&gt;'Week 4 Schedule'!$C$2:$C$500)))+(SUMPRODUCT(--('Week 4 Schedule'!$G$2:$G$500=$A29),--('Week 4 Schedule'!$I$2:$I$500=$C$28),--('Week 4 Schedule'!$H$2:$H$500&gt;'Week 4 Schedule'!$J$2:$J$500))+SUMPRODUCT(--('Week 4 Schedule'!$G$2:$G$500=$C$28),--('Week 4 Schedule'!$I$2:$I$500=$A29),--('Week 4 Schedule'!$J$2:$J$500&gt;'Week 4 Schedule'!$H$2:$H$500)))+(SUMPRODUCT(--('Week 5 Schedule'!$B$2:$B$500=$A29),--('Week 5 Schedule'!$D$2:$D$500=$C$28),--('Week 5 Schedule'!$C$2:$C$500&gt;'Week 5 Schedule'!$E$2:$E$500))+SUMPRODUCT(--('Week 5 Schedule'!$B$2:$B$500=$C$28),--('Week 5 Schedule'!$D$2:$D$500=$A29),--('Week 5 Schedule'!$E$2:$E$500&gt;'Week 5 Schedule'!$C$2:$C$500)))+(SUMPRODUCT(--('Week 5 Schedule'!$G$2:$G$500=$A29),--('Week 5 Schedule'!$I$2:$I$500=$C$28),--('Week 5 Schedule'!$H$2:$H$500&gt;'Week 5 Schedule'!$J$2:$J$500))+SUMPRODUCT(--('Week 5 Schedule'!$G$2:$G$500=$C$28),--('Week 5 Schedule'!$I$2:$I$500=$A29),--('Week 5 Schedule'!$J$2:$J$500&gt;'Week 5 Schedule'!$H$2:$H$500)))+(SUMPRODUCT(--('Week 6 Schedule'!$B$2:$B$500=$A29),--('Week 6 Schedule'!$D$2:$D$500=$C$28),--('Week 6 Schedule'!$C$2:$C$500&gt;'Week 6 Schedule'!$E$2:$E$500))+SUMPRODUCT(--('Week 6 Schedule'!$B$2:$B$500=$C$28),--('Week 6 Schedule'!$D$2:$D$500=$A29),--('Week 6 Schedule'!$E$2:$E$500&gt;'Week 6 Schedule'!$C$2:$C$500)))+(SUMPRODUCT(--('Week 6 Schedule'!$G$2:$G$500=$A29),--('Week 6 Schedule'!$I$2:$I$500=$C$28),--('Week 6 Schedule'!$H$2:$H$500&gt;'Week 6 Schedule'!$J$2:$J$500))+SUMPRODUCT(--('Week 6 Schedule'!$G$2:$G$500=$C$28),--('Week 6 Schedule'!$I$2:$I$500=$A29),--('Week 6 Schedule'!$J$2:$J$500&gt;'Week 6 Schedule'!$H$2:$H$500)))</f>
        <v>#REF!</v>
      </c>
      <c r="D29" t="str">
        <f>(SUMPRODUCT(--('Week 1 Schedule'!$B$2:$B$500=$A29),--('Week 1 Schedule'!$D$2:$D$500=$D$28),--('Week 1 Schedule'!$C$2:$C$500&gt;'Week 1 Schedule'!$E$2:$E$500))+SUMPRODUCT(--('Week 1 Schedule'!$B$2:$B$500=$D$28),--('Week 1 Schedule'!$D$2:$D$500=$A29),--('Week 1 Schedule'!$E$2:$E$500&gt;'Week 1 Schedule'!$C$2:$C$500)))+(SUMPRODUCT(--('Week 1 Schedule'!$G$2:$G$500=$A29),--('Week 1 Schedule'!$I$2:$I$500=$D$28),--('Week 1 Schedule'!$H$2:$H$500&gt;'Week 1 Schedule'!$J$2:$J$500))+SUMPRODUCT(--('Week 1 Schedule'!$G$2:$G$500=$D$28),--('Week 1 Schedule'!$I$2:$I$500=$A29),--('Week 1 Schedule'!$J$2:$J$500&gt;'Week 1 Schedule'!$H$2:$H$500)))+(SUMPRODUCT(--('Week 2 Schedule'!$B$2:$B$500=$A29),--('Week 2 Schedule'!$D$2:$D$500=$D$28),--('Week 2 Schedule'!$C$2:$C$500&gt;'Week 2 Schedule'!$E$2:$E$500))+SUMPRODUCT(--('Week 2 Schedule'!$B$2:$B$500=$D$28),--('Week 2 Schedule'!$D$2:$D$500=$A29),--('Week 2 Schedule'!$E$2:$E$500&gt;'Week 2 Schedule'!$C$2:$C$500)))+(SUMPRODUCT(--('Week 2 Schedule'!$G$2:$G$500=$A29),--('Week 2 Schedule'!$I$2:$I$500=$D$28),--('Week 2 Schedule'!$H$2:$H$500&gt;'Week 2 Schedule'!$J$2:$J$500))+SUMPRODUCT(--('Week 2 Schedule'!$G$2:$G$500=$D$28),--('Week 2 Schedule'!$I$2:$I$500=$A29),--('Week 2 Schedule'!$J$2:$J$500&gt;'Week 2 Schedule'!$H$2:$H$500)))+(SUMPRODUCT(--('Week 3 Schedule'!$B$2:$B$500=$A29),--('Week 3 Schedule'!$D$2:$D$500=$D$28),--('Week 3 Schedule'!$C$2:$C$500&gt;'Week 3 Schedule'!$E$2:$E$500))+SUMPRODUCT(--('Week 3 Schedule'!$B$2:$B$500=$D$28),--('Week 3 Schedule'!$D$2:$D$500=$A29),--('Week 3 Schedule'!$E$2:$E$500&gt;'Week 3 Schedule'!$C$2:$C$500)))+(SUMPRODUCT(--('Week 3 Schedule'!$G$2:$G$500=$A29),--('Week 3 Schedule'!$I$2:$I$500=$D$28),--('Week 3 Schedule'!$H$2:$H$500&gt;'Week 3 Schedule'!$J$2:$J$500))+SUMPRODUCT(--('Week 3 Schedule'!$G$2:$G$500=$D$28),--('Week 3 Schedule'!$I$2:$I$500=$A29),--('Week 3 Schedule'!$J$2:$J$500&gt;'Week 3 Schedule'!$H$2:$H$500)))+(SUMPRODUCT(--('Week 4 Schedule'!$B$2:$B$500=$A29),--('Week 4 Schedule'!$D$2:$D$500=$D$28),--('Week 4 Schedule'!$C$2:$C$500&gt;'Week 4 Schedule'!$E$2:$E$500))+SUMPRODUCT(--('Week 4 Schedule'!$B$2:$B$500=$D$28),--('Week 4 Schedule'!$D$2:$D$500=$A29),--('Week 4 Schedule'!$E$2:$E$500&gt;'Week 4 Schedule'!$C$2:$C$500)))+(SUMPRODUCT(--('Week 4 Schedule'!$G$2:$G$500=$A29),--('Week 4 Schedule'!$I$2:$I$500=$D$28),--('Week 4 Schedule'!$H$2:$H$500&gt;'Week 4 Schedule'!$J$2:$J$500))+SUMPRODUCT(--('Week 4 Schedule'!$G$2:$G$500=$D$28),--('Week 4 Schedule'!$I$2:$I$500=$A29),--('Week 4 Schedule'!$J$2:$J$500&gt;'Week 4 Schedule'!$H$2:$H$500)))+(SUMPRODUCT(--('Week 5 Schedule'!$B$2:$B$500=$A29),--('Week 5 Schedule'!$D$2:$D$500=$D$28),--('Week 5 Schedule'!$C$2:$C$500&gt;'Week 5 Schedule'!$E$2:$E$500))+SUMPRODUCT(--('Week 5 Schedule'!$B$2:$B$500=$D$28),--('Week 5 Schedule'!$D$2:$D$500=$A29),--('Week 5 Schedule'!$E$2:$E$500&gt;'Week 5 Schedule'!$C$2:$C$500)))+(SUMPRODUCT(--('Week 5 Schedule'!$G$2:$G$500=$A29),--('Week 5 Schedule'!$I$2:$I$500=$D$28),--('Week 5 Schedule'!$H$2:$H$500&gt;'Week 5 Schedule'!$J$2:$J$500))+SUMPRODUCT(--('Week 5 Schedule'!$G$2:$G$500=$D$28),--('Week 5 Schedule'!$I$2:$I$500=$A29),--('Week 5 Schedule'!$J$2:$J$500&gt;'Week 5 Schedule'!$H$2:$H$500)))+(SUMPRODUCT(--('Week 6 Schedule'!$B$2:$B$500=$A29),--('Week 6 Schedule'!$D$2:$D$500=$D$28),--('Week 6 Schedule'!$C$2:$C$500&gt;'Week 6 Schedule'!$E$2:$E$500))+SUMPRODUCT(--('Week 6 Schedule'!$B$2:$B$500=$D$28),--('Week 6 Schedule'!$D$2:$D$500=$A29),--('Week 6 Schedule'!$E$2:$E$500&gt;'Week 6 Schedule'!$C$2:$C$500)))+(SUMPRODUCT(--('Week 6 Schedule'!$G$2:$G$500=$A29),--('Week 6 Schedule'!$I$2:$I$500=$D$28),--('Week 6 Schedule'!$H$2:$H$500&gt;'Week 6 Schedule'!$J$2:$J$500))+SUMPRODUCT(--('Week 6 Schedule'!$G$2:$G$500=$D$28),--('Week 6 Schedule'!$I$2:$I$500=$A29),--('Week 6 Schedule'!$J$2:$J$500&gt;'Week 6 Schedule'!$H$2:$H$500)))</f>
        <v>#REF!</v>
      </c>
      <c r="E29" t="str">
        <f>(SUMPRODUCT(--('Week 1 Schedule'!$B$2:$B$500=$A29),--('Week 1 Schedule'!$D$2:$D$500=$E$28),--('Week 1 Schedule'!$C$2:$C$500&gt;'Week 1 Schedule'!$E$2:$E$500))+SUMPRODUCT(--('Week 1 Schedule'!$B$2:$B$500=$E$28),--('Week 1 Schedule'!$D$2:$D$500=$A29),--('Week 1 Schedule'!$E$2:$E$500&gt;'Week 1 Schedule'!$C$2:$C$500)))+(SUMPRODUCT(--('Week 1 Schedule'!$G$2:$G$500=$A29),--('Week 1 Schedule'!$I$2:$I$500=$E$28),--('Week 1 Schedule'!$H$2:$H$500&gt;'Week 1 Schedule'!$J$2:$J$500))+SUMPRODUCT(--('Week 1 Schedule'!$G$2:$G$500=$E$28),--('Week 1 Schedule'!$I$2:$I$500=$A29),--('Week 1 Schedule'!$J$2:$J$500&gt;'Week 1 Schedule'!$H$2:$H$500)))+(SUMPRODUCT(--('Week 2 Schedule'!$B$2:$B$500=$A29),--('Week 2 Schedule'!$D$2:$D$500=$E$28),--('Week 2 Schedule'!$C$2:$C$500&gt;'Week 2 Schedule'!$E$2:$E$500))+SUMPRODUCT(--('Week 2 Schedule'!$B$2:$B$500=$E$28),--('Week 2 Schedule'!$D$2:$D$500=$A29),--('Week 2 Schedule'!$E$2:$E$500&gt;'Week 2 Schedule'!$C$2:$C$500)))+(SUMPRODUCT(--('Week 2 Schedule'!$G$2:$G$500=$A29),--('Week 2 Schedule'!$I$2:$I$500=$E$28),--('Week 2 Schedule'!$H$2:$H$500&gt;'Week 2 Schedule'!$J$2:$J$500))+SUMPRODUCT(--('Week 2 Schedule'!$G$2:$G$500=$E$28),--('Week 2 Schedule'!$I$2:$I$500=$A29),--('Week 2 Schedule'!$J$2:$J$500&gt;'Week 2 Schedule'!$H$2:$H$500)))+(SUMPRODUCT(--('Week 3 Schedule'!$B$2:$B$500=$A29),--('Week 3 Schedule'!$D$2:$D$500=$E$28),--('Week 3 Schedule'!$C$2:$C$500&gt;'Week 3 Schedule'!$E$2:$E$500))+SUMPRODUCT(--('Week 3 Schedule'!$B$2:$B$500=$E$28),--('Week 3 Schedule'!$D$2:$D$500=$A29),--('Week 3 Schedule'!$E$2:$E$500&gt;'Week 3 Schedule'!$C$2:$C$500)))+(SUMPRODUCT(--('Week 3 Schedule'!$G$2:$G$500=$A29),--('Week 3 Schedule'!$I$2:$I$500=$E$28),--('Week 3 Schedule'!$H$2:$H$500&gt;'Week 3 Schedule'!$J$2:$J$500))+SUMPRODUCT(--('Week 3 Schedule'!$G$2:$G$500=$E$28),--('Week 3 Schedule'!$I$2:$I$500=$A29),--('Week 3 Schedule'!$J$2:$J$500&gt;'Week 3 Schedule'!$H$2:$H$500)))+(SUMPRODUCT(--('Week 4 Schedule'!$B$2:$B$500=$A29),--('Week 4 Schedule'!$D$2:$D$500=$E$28),--('Week 4 Schedule'!$C$2:$C$500&gt;'Week 4 Schedule'!$E$2:$E$500))+SUMPRODUCT(--('Week 4 Schedule'!$B$2:$B$500=$E$28),--('Week 4 Schedule'!$D$2:$D$500=$A29),--('Week 4 Schedule'!$E$2:$E$500&gt;'Week 4 Schedule'!$C$2:$C$500)))+(SUMPRODUCT(--('Week 4 Schedule'!$G$2:$G$500=$A29),--('Week 4 Schedule'!$I$2:$I$500=$E$28),--('Week 4 Schedule'!$H$2:$H$500&gt;'Week 4 Schedule'!$J$2:$J$500))+SUMPRODUCT(--('Week 4 Schedule'!$G$2:$G$500=$E$28),--('Week 4 Schedule'!$I$2:$I$500=$A29),--('Week 4 Schedule'!$J$2:$J$500&gt;'Week 4 Schedule'!$H$2:$H$500)))+(SUMPRODUCT(--('Week 5 Schedule'!$B$2:$B$500=$A29),--('Week 5 Schedule'!$D$2:$D$500=$E$28),--('Week 5 Schedule'!$C$2:$C$500&gt;'Week 5 Schedule'!$E$2:$E$500))+SUMPRODUCT(--('Week 5 Schedule'!$B$2:$B$500=$E$28),--('Week 5 Schedule'!$D$2:$D$500=$A29),--('Week 5 Schedule'!$E$2:$E$500&gt;'Week 5 Schedule'!$C$2:$C$500)))+(SUMPRODUCT(--('Week 5 Schedule'!$G$2:$G$500=$A29),--('Week 5 Schedule'!$I$2:$I$500=$E$28),--('Week 5 Schedule'!$H$2:$H$500&gt;'Week 5 Schedule'!$J$2:$J$500))+SUMPRODUCT(--('Week 5 Schedule'!$G$2:$G$500=$E$28),--('Week 5 Schedule'!$I$2:$I$500=$A29),--('Week 5 Schedule'!$J$2:$J$500&gt;'Week 5 Schedule'!$H$2:$H$500)))+(SUMPRODUCT(--('Week 6 Schedule'!$B$2:$B$500=$A29),--('Week 6 Schedule'!$D$2:$D$500=$E$28),--('Week 6 Schedule'!$C$2:$C$500&gt;'Week 6 Schedule'!$E$2:$E$500))+SUMPRODUCT(--('Week 6 Schedule'!$B$2:$B$500=$E$28),--('Week 6 Schedule'!$D$2:$D$500=$A29),--('Week 6 Schedule'!$E$2:$E$500&gt;'Week 6 Schedule'!$C$2:$C$500)))+(SUMPRODUCT(--('Week 6 Schedule'!$G$2:$G$500=$A29),--('Week 6 Schedule'!$I$2:$I$500=$E$28),--('Week 6 Schedule'!$H$2:$H$500&gt;'Week 6 Schedule'!$J$2:$J$500))+SUMPRODUCT(--('Week 6 Schedule'!$G$2:$G$500=$E$28),--('Week 6 Schedule'!$I$2:$I$500=$A29),--('Week 6 Schedule'!$J$2:$J$500&gt;'Week 6 Schedule'!$H$2:$H$500)))</f>
        <v>#REF!</v>
      </c>
      <c r="F29" t="str">
        <f>(SUMPRODUCT(--('Week 1 Schedule'!$B$2:$B$500=$A29),--('Week 1 Schedule'!$D$2:$D$500=$F$28),--('Week 1 Schedule'!$C$2:$C$500&gt;'Week 1 Schedule'!$E$2:$E$500))+SUMPRODUCT(--('Week 1 Schedule'!$B$2:$B$500=$F$28),--('Week 1 Schedule'!$D$2:$D$500=$A29),--('Week 1 Schedule'!$E$2:$E$500&gt;'Week 1 Schedule'!$C$2:$C$500)))+(SUMPRODUCT(--('Week 1 Schedule'!$G$2:$G$500=$A29),--('Week 1 Schedule'!$I$2:$I$500=$F$28),--('Week 1 Schedule'!$H$2:$H$500&gt;'Week 1 Schedule'!$J$2:$J$500))+SUMPRODUCT(--('Week 1 Schedule'!$G$2:$G$500=$F$28),--('Week 1 Schedule'!$I$2:$I$500=$A29),--('Week 1 Schedule'!$J$2:$J$500&gt;'Week 1 Schedule'!$H$2:$H$500)))+(SUMPRODUCT(--('Week 2 Schedule'!$B$2:$B$500=$A29),--('Week 2 Schedule'!$D$2:$D$500=$F$28),--('Week 2 Schedule'!$C$2:$C$500&gt;'Week 2 Schedule'!$E$2:$E$500))+SUMPRODUCT(--('Week 2 Schedule'!$B$2:$B$500=$F$28),--('Week 2 Schedule'!$D$2:$D$500=$A29),--('Week 2 Schedule'!$E$2:$E$500&gt;'Week 2 Schedule'!$C$2:$C$500)))+(SUMPRODUCT(--('Week 2 Schedule'!$G$2:$G$500=$A29),--('Week 2 Schedule'!$I$2:$I$500=$F$28),--('Week 2 Schedule'!$H$2:$H$500&gt;'Week 2 Schedule'!$J$2:$J$500))+SUMPRODUCT(--('Week 2 Schedule'!$G$2:$G$500=$F$28),--('Week 2 Schedule'!$I$2:$I$500=$A29),--('Week 2 Schedule'!$J$2:$J$500&gt;'Week 2 Schedule'!$H$2:$H$500)))+(SUMPRODUCT(--('Week 3 Schedule'!$B$2:$B$500=$A29),--('Week 3 Schedule'!$D$2:$D$500=$F$28),--('Week 3 Schedule'!$C$2:$C$500&gt;'Week 3 Schedule'!$E$2:$E$500))+SUMPRODUCT(--('Week 3 Schedule'!$B$2:$B$500=$F$28),--('Week 3 Schedule'!$D$2:$D$500=$A29),--('Week 3 Schedule'!$E$2:$E$500&gt;'Week 3 Schedule'!$C$2:$C$500)))+(SUMPRODUCT(--('Week 3 Schedule'!$G$2:$G$500=$A29),--('Week 3 Schedule'!$I$2:$I$500=$F$28),--('Week 3 Schedule'!$H$2:$H$500&gt;'Week 3 Schedule'!$J$2:$J$500))+SUMPRODUCT(--('Week 3 Schedule'!$G$2:$G$500=$F$28),--('Week 3 Schedule'!$I$2:$I$500=$A29),--('Week 3 Schedule'!$J$2:$J$500&gt;'Week 3 Schedule'!$H$2:$H$500)))+(SUMPRODUCT(--('Week 4 Schedule'!$B$2:$B$500=$A29),--('Week 4 Schedule'!$D$2:$D$500=$F$28),--('Week 4 Schedule'!$C$2:$C$500&gt;'Week 4 Schedule'!$E$2:$E$500))+SUMPRODUCT(--('Week 4 Schedule'!$B$2:$B$500=$F$28),--('Week 4 Schedule'!$D$2:$D$500=$A29),--('Week 4 Schedule'!$E$2:$E$500&gt;'Week 4 Schedule'!$C$2:$C$500)))+(SUMPRODUCT(--('Week 4 Schedule'!$G$2:$G$500=$A29),--('Week 4 Schedule'!$I$2:$I$500=$F$28),--('Week 4 Schedule'!$H$2:$H$500&gt;'Week 4 Schedule'!$J$2:$J$500))+SUMPRODUCT(--('Week 4 Schedule'!$G$2:$G$500=$F$28),--('Week 4 Schedule'!$I$2:$I$500=$A29),--('Week 4 Schedule'!$J$2:$J$500&gt;'Week 4 Schedule'!$H$2:$H$500)))+(SUMPRODUCT(--('Week 5 Schedule'!$B$2:$B$500=$A29),--('Week 5 Schedule'!$D$2:$D$500=$F$28),--('Week 5 Schedule'!$C$2:$C$500&gt;'Week 5 Schedule'!$E$2:$E$500))+SUMPRODUCT(--('Week 5 Schedule'!$B$2:$B$500=$F$28),--('Week 5 Schedule'!$D$2:$D$500=$A29),--('Week 5 Schedule'!$E$2:$E$500&gt;'Week 5 Schedule'!$C$2:$C$500)))+(SUMPRODUCT(--('Week 5 Schedule'!$G$2:$G$500=$A29),--('Week 5 Schedule'!$I$2:$I$500=$F$28),--('Week 5 Schedule'!$H$2:$H$500&gt;'Week 5 Schedule'!$J$2:$J$500))+SUMPRODUCT(--('Week 5 Schedule'!$G$2:$G$500=$F$28),--('Week 5 Schedule'!$I$2:$I$500=$A29),--('Week 5 Schedule'!$J$2:$J$500&gt;'Week 5 Schedule'!$H$2:$H$500)))+(SUMPRODUCT(--('Week 6 Schedule'!$B$2:$B$500=$A29),--('Week 6 Schedule'!$D$2:$D$500=$F$28),--('Week 6 Schedule'!$C$2:$C$500&gt;'Week 6 Schedule'!$E$2:$E$500))+SUMPRODUCT(--('Week 6 Schedule'!$B$2:$B$500=$F$28),--('Week 6 Schedule'!$D$2:$D$500=$A29),--('Week 6 Schedule'!$E$2:$E$500&gt;'Week 6 Schedule'!$C$2:$C$500)))+(SUMPRODUCT(--('Week 6 Schedule'!$G$2:$G$500=$A29),--('Week 6 Schedule'!$I$2:$I$500=$F$28),--('Week 6 Schedule'!$H$2:$H$500&gt;'Week 6 Schedule'!$J$2:$J$500))+SUMPRODUCT(--('Week 6 Schedule'!$G$2:$G$500=$F$28),--('Week 6 Schedule'!$I$2:$I$500=$A29),--('Week 6 Schedule'!$J$2:$J$500&gt;'Week 6 Schedule'!$H$2:$H$500)))</f>
        <v>#REF!</v>
      </c>
      <c r="G29" t="str">
        <f>(SUMPRODUCT(--('Week 1 Schedule'!$B$2:$B$500=$A29),--('Week 1 Schedule'!$D$2:$D$500=$G$28),--('Week 1 Schedule'!$C$2:$C$500&gt;'Week 1 Schedule'!$E$2:$E$500))+SUMPRODUCT(--('Week 1 Schedule'!$B$2:$B$500=$G$28),--('Week 1 Schedule'!$D$2:$D$500=$A29),--('Week 1 Schedule'!$E$2:$E$500&gt;'Week 1 Schedule'!$C$2:$C$500)))+(SUMPRODUCT(--('Week 1 Schedule'!$G$2:$G$500=$A29),--('Week 1 Schedule'!$I$2:$I$500=$G$28),--('Week 1 Schedule'!$H$2:$H$500&gt;'Week 1 Schedule'!$J$2:$J$500))+SUMPRODUCT(--('Week 1 Schedule'!$G$2:$G$500=$G$28),--('Week 1 Schedule'!$I$2:$I$500=$A29),--('Week 1 Schedule'!$J$2:$J$500&gt;'Week 1 Schedule'!$H$2:$H$500)))+(SUMPRODUCT(--('Week 2 Schedule'!$B$2:$B$500=$A29),--('Week 2 Schedule'!$D$2:$D$500=$G$28),--('Week 2 Schedule'!$C$2:$C$500&gt;'Week 2 Schedule'!$E$2:$E$500))+SUMPRODUCT(--('Week 2 Schedule'!$B$2:$B$500=$G$28),--('Week 2 Schedule'!$D$2:$D$500=$A29),--('Week 2 Schedule'!$E$2:$E$500&gt;'Week 2 Schedule'!$C$2:$C$500)))+(SUMPRODUCT(--('Week 2 Schedule'!$G$2:$G$500=$A29),--('Week 2 Schedule'!$I$2:$I$500=$G$28),--('Week 2 Schedule'!$H$2:$H$500&gt;'Week 2 Schedule'!$J$2:$J$500))+SUMPRODUCT(--('Week 2 Schedule'!$G$2:$G$500=$G$28),--('Week 2 Schedule'!$I$2:$I$500=$A29),--('Week 2 Schedule'!$J$2:$J$500&gt;'Week 2 Schedule'!$H$2:$H$500)))+(SUMPRODUCT(--('Week 3 Schedule'!$B$2:$B$500=$A29),--('Week 3 Schedule'!$D$2:$D$500=$G$28),--('Week 3 Schedule'!$C$2:$C$500&gt;'Week 3 Schedule'!$E$2:$E$500))+SUMPRODUCT(--('Week 3 Schedule'!$B$2:$B$500=$G$28),--('Week 3 Schedule'!$D$2:$D$500=$A29),--('Week 3 Schedule'!$E$2:$E$500&gt;'Week 3 Schedule'!$C$2:$C$500)))+(SUMPRODUCT(--('Week 3 Schedule'!$G$2:$G$500=$A29),--('Week 3 Schedule'!$I$2:$I$500=$G$28),--('Week 3 Schedule'!$H$2:$H$500&gt;'Week 3 Schedule'!$J$2:$J$500))+SUMPRODUCT(--('Week 3 Schedule'!$G$2:$G$500=$G$28),--('Week 3 Schedule'!$I$2:$I$500=$A29),--('Week 3 Schedule'!$J$2:$J$500&gt;'Week 3 Schedule'!$H$2:$H$500)))+(SUMPRODUCT(--('Week 4 Schedule'!$B$2:$B$500=$A29),--('Week 4 Schedule'!$D$2:$D$500=$G$28),--('Week 4 Schedule'!$C$2:$C$500&gt;'Week 4 Schedule'!$E$2:$E$500))+SUMPRODUCT(--('Week 4 Schedule'!$B$2:$B$500=$G$28),--('Week 4 Schedule'!$D$2:$D$500=$A29),--('Week 4 Schedule'!$E$2:$E$500&gt;'Week 4 Schedule'!$C$2:$C$500)))+(SUMPRODUCT(--('Week 4 Schedule'!$G$2:$G$500=$A29),--('Week 4 Schedule'!$I$2:$I$500=$G$28),--('Week 4 Schedule'!$H$2:$H$500&gt;'Week 4 Schedule'!$J$2:$J$500))+SUMPRODUCT(--('Week 4 Schedule'!$G$2:$G$500=$G$28),--('Week 4 Schedule'!$I$2:$I$500=$A29),--('Week 4 Schedule'!$J$2:$J$500&gt;'Week 4 Schedule'!$H$2:$H$500)))+(SUMPRODUCT(--('Week 5 Schedule'!$B$2:$B$500=$A29),--('Week 5 Schedule'!$D$2:$D$500=$G$28),--('Week 5 Schedule'!$C$2:$C$500&gt;'Week 5 Schedule'!$E$2:$E$500))+SUMPRODUCT(--('Week 5 Schedule'!$B$2:$B$500=$G$28),--('Week 5 Schedule'!$D$2:$D$500=$A29),--('Week 5 Schedule'!$E$2:$E$500&gt;'Week 5 Schedule'!$C$2:$C$500)))+(SUMPRODUCT(--('Week 5 Schedule'!$G$2:$G$500=$A29),--('Week 5 Schedule'!$I$2:$I$500=$G$28),--('Week 5 Schedule'!$H$2:$H$500&gt;'Week 5 Schedule'!$J$2:$J$500))+SUMPRODUCT(--('Week 5 Schedule'!$G$2:$G$500=$G$28),--('Week 5 Schedule'!$I$2:$I$500=$A29),--('Week 5 Schedule'!$J$2:$J$500&gt;'Week 5 Schedule'!$H$2:$H$500)))+(SUMPRODUCT(--('Week 6 Schedule'!$B$2:$B$500=$A29),--('Week 6 Schedule'!$D$2:$D$500=$G$28),--('Week 6 Schedule'!$C$2:$C$500&gt;'Week 6 Schedule'!$E$2:$E$500))+SUMPRODUCT(--('Week 6 Schedule'!$B$2:$B$500=$G$28),--('Week 6 Schedule'!$D$2:$D$500=$A29),--('Week 6 Schedule'!$E$2:$E$500&gt;'Week 6 Schedule'!$C$2:$C$500)))+(SUMPRODUCT(--('Week 6 Schedule'!$G$2:$G$500=$A29),--('Week 6 Schedule'!$I$2:$I$500=$G$28),--('Week 6 Schedule'!$H$2:$H$500&gt;'Week 6 Schedule'!$J$2:$J$500))+SUMPRODUCT(--('Week 6 Schedule'!$G$2:$G$500=$G$28),--('Week 6 Schedule'!$I$2:$I$500=$A29),--('Week 6 Schedule'!$J$2:$J$500&gt;'Week 6 Schedule'!$H$2:$H$500)))</f>
        <v>#REF!</v>
      </c>
      <c r="H29" t="str">
        <f>(SUMPRODUCT(--('Week 1 Schedule'!$B$2:$B$500=$A29),--('Week 1 Schedule'!$D$2:$D$500=$H$28),--('Week 1 Schedule'!$C$2:$C$500&gt;'Week 1 Schedule'!$E$2:$E$500))+SUMPRODUCT(--('Week 1 Schedule'!$B$2:$B$500=$H$28),--('Week 1 Schedule'!$D$2:$D$500=$A29),--('Week 1 Schedule'!$E$2:$E$500&gt;'Week 1 Schedule'!$C$2:$C$500)))+(SUMPRODUCT(--('Week 1 Schedule'!$G$2:$G$500=$A29),--('Week 1 Schedule'!$I$2:$I$500=$H$28),--('Week 1 Schedule'!$H$2:$H$500&gt;'Week 1 Schedule'!$J$2:$J$500))+SUMPRODUCT(--('Week 1 Schedule'!$G$2:$G$500=$H$28),--('Week 1 Schedule'!$I$2:$I$500=$A29),--('Week 1 Schedule'!$J$2:$J$500&gt;'Week 1 Schedule'!$H$2:$H$500)))+(SUMPRODUCT(--('Week 2 Schedule'!$B$2:$B$500=$A29),--('Week 2 Schedule'!$D$2:$D$500=$H$28),--('Week 2 Schedule'!$C$2:$C$500&gt;'Week 2 Schedule'!$E$2:$E$500))+SUMPRODUCT(--('Week 2 Schedule'!$B$2:$B$500=$H$28),--('Week 2 Schedule'!$D$2:$D$500=$A29),--('Week 2 Schedule'!$E$2:$E$500&gt;'Week 2 Schedule'!$C$2:$C$500)))+(SUMPRODUCT(--('Week 2 Schedule'!$G$2:$G$500=$A29),--('Week 2 Schedule'!$I$2:$I$500=$H$28),--('Week 2 Schedule'!$H$2:$H$500&gt;'Week 2 Schedule'!$J$2:$J$500))+SUMPRODUCT(--('Week 2 Schedule'!$G$2:$G$500=$H$28),--('Week 2 Schedule'!$I$2:$I$500=$A29),--('Week 2 Schedule'!$J$2:$J$500&gt;'Week 2 Schedule'!$H$2:$H$500)))+(SUMPRODUCT(--('Week 3 Schedule'!$B$2:$B$500=$A29),--('Week 3 Schedule'!$D$2:$D$500=$H$28),--('Week 3 Schedule'!$C$2:$C$500&gt;'Week 3 Schedule'!$E$2:$E$500))+SUMPRODUCT(--('Week 3 Schedule'!$B$2:$B$500=$H$28),--('Week 3 Schedule'!$D$2:$D$500=$A29),--('Week 3 Schedule'!$E$2:$E$500&gt;'Week 3 Schedule'!$C$2:$C$500)))+(SUMPRODUCT(--('Week 3 Schedule'!$G$2:$G$500=$A29),--('Week 3 Schedule'!$I$2:$I$500=$H$28),--('Week 3 Schedule'!$H$2:$H$500&gt;'Week 3 Schedule'!$J$2:$J$500))+SUMPRODUCT(--('Week 3 Schedule'!$G$2:$G$500=$H$28),--('Week 3 Schedule'!$I$2:$I$500=$A29),--('Week 3 Schedule'!$J$2:$J$500&gt;'Week 3 Schedule'!$H$2:$H$500)))+(SUMPRODUCT(--('Week 4 Schedule'!$B$2:$B$500=$A29),--('Week 4 Schedule'!$D$2:$D$500=$H$28),--('Week 4 Schedule'!$C$2:$C$500&gt;'Week 4 Schedule'!$E$2:$E$500))+SUMPRODUCT(--('Week 4 Schedule'!$B$2:$B$500=$H$28),--('Week 4 Schedule'!$D$2:$D$500=$A29),--('Week 4 Schedule'!$E$2:$E$500&gt;'Week 4 Schedule'!$C$2:$C$500)))+(SUMPRODUCT(--('Week 4 Schedule'!$G$2:$G$500=$A29),--('Week 4 Schedule'!$I$2:$I$500=$H$28),--('Week 4 Schedule'!$H$2:$H$500&gt;'Week 4 Schedule'!$J$2:$J$500))+SUMPRODUCT(--('Week 4 Schedule'!$G$2:$G$500=$H$28),--('Week 4 Schedule'!$I$2:$I$500=$A29),--('Week 4 Schedule'!$J$2:$J$500&gt;'Week 4 Schedule'!$H$2:$H$500)))+(SUMPRODUCT(--('Week 5 Schedule'!$B$2:$B$500=$A29),--('Week 5 Schedule'!$D$2:$D$500=$H$28),--('Week 5 Schedule'!$C$2:$C$500&gt;'Week 5 Schedule'!$E$2:$E$500))+SUMPRODUCT(--('Week 5 Schedule'!$B$2:$B$500=$H$28),--('Week 5 Schedule'!$D$2:$D$500=$A29),--('Week 5 Schedule'!$E$2:$E$500&gt;'Week 5 Schedule'!$C$2:$C$500)))+(SUMPRODUCT(--('Week 5 Schedule'!$G$2:$G$500=$A29),--('Week 5 Schedule'!$I$2:$I$500=$H$28),--('Week 5 Schedule'!$H$2:$H$500&gt;'Week 5 Schedule'!$J$2:$J$500))+SUMPRODUCT(--('Week 5 Schedule'!$G$2:$G$500=$H$28),--('Week 5 Schedule'!$I$2:$I$500=$A29),--('Week 5 Schedule'!$J$2:$J$500&gt;'Week 5 Schedule'!$H$2:$H$500)))+(SUMPRODUCT(--('Week 6 Schedule'!$B$2:$B$500=$A29),--('Week 6 Schedule'!$D$2:$D$500=$H$28),--('Week 6 Schedule'!$C$2:$C$500&gt;'Week 6 Schedule'!$E$2:$E$500))+SUMPRODUCT(--('Week 6 Schedule'!$B$2:$B$500=$H$28),--('Week 6 Schedule'!$D$2:$D$500=$A29),--('Week 6 Schedule'!$E$2:$E$500&gt;'Week 6 Schedule'!$C$2:$C$500)))+(SUMPRODUCT(--('Week 6 Schedule'!$G$2:$G$500=$A29),--('Week 6 Schedule'!$I$2:$I$500=$H$28),--('Week 6 Schedule'!$H$2:$H$500&gt;'Week 6 Schedule'!$J$2:$J$500))+SUMPRODUCT(--('Week 6 Schedule'!$G$2:$G$500=$H$28),--('Week 6 Schedule'!$I$2:$I$500=$A29),--('Week 6 Schedule'!$J$2:$J$500&gt;'Week 6 Schedule'!$H$2:$H$500)))</f>
        <v>#REF!</v>
      </c>
      <c r="I29" t="str">
        <f>(SUMPRODUCT(--('Week 1 Schedule'!$B$2:$B$500=$A29),--('Week 1 Schedule'!$D$2:$D$500=$I$28),--('Week 1 Schedule'!$C$2:$C$500&gt;'Week 1 Schedule'!$E$2:$E$500))+SUMPRODUCT(--('Week 1 Schedule'!$B$2:$B$500=$I$28),--('Week 1 Schedule'!$D$2:$D$500=$A29),--('Week 1 Schedule'!$E$2:$E$500&gt;'Week 1 Schedule'!$C$2:$C$500)))+(SUMPRODUCT(--('Week 1 Schedule'!$G$2:$G$500=$A29),--('Week 1 Schedule'!$I$2:$I$500=$I$28),--('Week 1 Schedule'!$H$2:$H$500&gt;'Week 1 Schedule'!$J$2:$J$500))+SUMPRODUCT(--('Week 1 Schedule'!$G$2:$G$500=$I$28),--('Week 1 Schedule'!$I$2:$I$500=$A29),--('Week 1 Schedule'!$J$2:$J$500&gt;'Week 1 Schedule'!$H$2:$H$500)))+(SUMPRODUCT(--('Week 2 Schedule'!$B$2:$B$500=$A29),--('Week 2 Schedule'!$D$2:$D$500=$I$28),--('Week 2 Schedule'!$C$2:$C$500&gt;'Week 2 Schedule'!$E$2:$E$500))+SUMPRODUCT(--('Week 2 Schedule'!$B$2:$B$500=$I$28),--('Week 2 Schedule'!$D$2:$D$500=$A29),--('Week 2 Schedule'!$E$2:$E$500&gt;'Week 2 Schedule'!$C$2:$C$500)))+(SUMPRODUCT(--('Week 2 Schedule'!$G$2:$G$500=$A29),--('Week 2 Schedule'!$I$2:$I$500=$I$28),--('Week 2 Schedule'!$H$2:$H$500&gt;'Week 2 Schedule'!$J$2:$J$500))+SUMPRODUCT(--('Week 2 Schedule'!$G$2:$G$500=$I$28),--('Week 2 Schedule'!$I$2:$I$500=$A29),--('Week 2 Schedule'!$J$2:$J$500&gt;'Week 2 Schedule'!$H$2:$H$500)))+(SUMPRODUCT(--('Week 3 Schedule'!$B$2:$B$500=$A29),--('Week 3 Schedule'!$D$2:$D$500=$I$28),--('Week 3 Schedule'!$C$2:$C$500&gt;'Week 3 Schedule'!$E$2:$E$500))+SUMPRODUCT(--('Week 3 Schedule'!$B$2:$B$500=$I$28),--('Week 3 Schedule'!$D$2:$D$500=$A29),--('Week 3 Schedule'!$E$2:$E$500&gt;'Week 3 Schedule'!$C$2:$C$500)))+(SUMPRODUCT(--('Week 3 Schedule'!$G$2:$G$500=$A29),--('Week 3 Schedule'!$I$2:$I$500=$I$28),--('Week 3 Schedule'!$H$2:$H$500&gt;'Week 3 Schedule'!$J$2:$J$500))+SUMPRODUCT(--('Week 3 Schedule'!$G$2:$G$500=$I$28),--('Week 3 Schedule'!$I$2:$I$500=$A29),--('Week 3 Schedule'!$J$2:$J$500&gt;'Week 3 Schedule'!$H$2:$H$500)))+(SUMPRODUCT(--('Week 4 Schedule'!$B$2:$B$500=$A29),--('Week 4 Schedule'!$D$2:$D$500=$I$28),--('Week 4 Schedule'!$C$2:$C$500&gt;'Week 4 Schedule'!$E$2:$E$500))+SUMPRODUCT(--('Week 4 Schedule'!$B$2:$B$500=$I$28),--('Week 4 Schedule'!$D$2:$D$500=$A29),--('Week 4 Schedule'!$E$2:$E$500&gt;'Week 4 Schedule'!$C$2:$C$500)))+(SUMPRODUCT(--('Week 4 Schedule'!$G$2:$G$500=$A29),--('Week 4 Schedule'!$I$2:$I$500=$I$28),--('Week 4 Schedule'!$H$2:$H$500&gt;'Week 4 Schedule'!$J$2:$J$500))+SUMPRODUCT(--('Week 4 Schedule'!$G$2:$G$500=$I$28),--('Week 4 Schedule'!$I$2:$I$500=$A29),--('Week 4 Schedule'!$J$2:$J$500&gt;'Week 4 Schedule'!$H$2:$H$500)))+(SUMPRODUCT(--('Week 5 Schedule'!$B$2:$B$500=$A29),--('Week 5 Schedule'!$D$2:$D$500=$I$28),--('Week 5 Schedule'!$C$2:$C$500&gt;'Week 5 Schedule'!$E$2:$E$500))+SUMPRODUCT(--('Week 5 Schedule'!$B$2:$B$500=$I$28),--('Week 5 Schedule'!$D$2:$D$500=$A29),--('Week 5 Schedule'!$E$2:$E$500&gt;'Week 5 Schedule'!$C$2:$C$500)))+(SUMPRODUCT(--('Week 5 Schedule'!$G$2:$G$500=$A29),--('Week 5 Schedule'!$I$2:$I$500=$I$28),--('Week 5 Schedule'!$H$2:$H$500&gt;'Week 5 Schedule'!$J$2:$J$500))+SUMPRODUCT(--('Week 5 Schedule'!$G$2:$G$500=$I$28),--('Week 5 Schedule'!$I$2:$I$500=$A29),--('Week 5 Schedule'!$J$2:$J$500&gt;'Week 5 Schedule'!$H$2:$H$500)))+(SUMPRODUCT(--('Week 6 Schedule'!$B$2:$B$500=$A29),--('Week 6 Schedule'!$D$2:$D$500=$I$28),--('Week 6 Schedule'!$C$2:$C$500&gt;'Week 6 Schedule'!$E$2:$E$500))+SUMPRODUCT(--('Week 6 Schedule'!$B$2:$B$500=$I$28),--('Week 6 Schedule'!$D$2:$D$500=$A29),--('Week 6 Schedule'!$E$2:$E$500&gt;'Week 6 Schedule'!$C$2:$C$500)))+(SUMPRODUCT(--('Week 6 Schedule'!$G$2:$G$500=$A29),--('Week 6 Schedule'!$I$2:$I$500=$I$28),--('Week 6 Schedule'!$H$2:$H$500&gt;'Week 6 Schedule'!$J$2:$J$500))+SUMPRODUCT(--('Week 6 Schedule'!$G$2:$G$500=$I$28),--('Week 6 Schedule'!$I$2:$I$500=$A29),--('Week 6 Schedule'!$J$2:$J$500&gt;'Week 6 Schedule'!$H$2:$H$500)))</f>
        <v>#REF!</v>
      </c>
    </row>
    <row r="30">
      <c r="A30" t="str">
        <v>Boop Boop</v>
      </c>
      <c r="B30" t="str">
        <f>(SUMPRODUCT(--('Week 1 Schedule'!$B$2:$B$500=$A30),--('Week 1 Schedule'!$D$2:$D$500=$B$28),--('Week 1 Schedule'!$C$2:$C$500&gt;'Week 1 Schedule'!$E$2:$E$500))+SUMPRODUCT(--('Week 1 Schedule'!$B$2:$B$500=$B$28),--('Week 1 Schedule'!$D$2:$D$500=$A30),--('Week 1 Schedule'!$E$2:$E$500&gt;'Week 1 Schedule'!$C$2:$C$500)))+(SUMPRODUCT(--('Week 1 Schedule'!$G$2:$G$500=$A30),--('Week 1 Schedule'!$I$2:$I$500=$B$28),--('Week 1 Schedule'!$H$2:$H$500&gt;'Week 1 Schedule'!$J$2:$J$500))+SUMPRODUCT(--('Week 1 Schedule'!$G$2:$G$500=$B$28),--('Week 1 Schedule'!$I$2:$I$500=$A30),--('Week 1 Schedule'!$J$2:$J$500&gt;'Week 1 Schedule'!$H$2:$H$500)))+(SUMPRODUCT(--('Week 2 Schedule'!$B$2:$B$500=$A30),--('Week 2 Schedule'!$D$2:$D$500=$B$28),--('Week 2 Schedule'!$C$2:$C$500&gt;'Week 2 Schedule'!$E$2:$E$500))+SUMPRODUCT(--('Week 2 Schedule'!$B$2:$B$500=$B$28),--('Week 2 Schedule'!$D$2:$D$500=$A30),--('Week 2 Schedule'!$E$2:$E$500&gt;'Week 2 Schedule'!$C$2:$C$500)))+(SUMPRODUCT(--('Week 2 Schedule'!$G$2:$G$500=$A30),--('Week 2 Schedule'!$I$2:$I$500=$B$28),--('Week 2 Schedule'!$H$2:$H$500&gt;'Week 2 Schedule'!$J$2:$J$500))+SUMPRODUCT(--('Week 2 Schedule'!$G$2:$G$500=$B$28),--('Week 2 Schedule'!$I$2:$I$500=$A30),--('Week 2 Schedule'!$J$2:$J$500&gt;'Week 2 Schedule'!$H$2:$H$500)))+(SUMPRODUCT(--('Week 3 Schedule'!$B$2:$B$500=$A30),--('Week 3 Schedule'!$D$2:$D$500=$B$28),--('Week 3 Schedule'!$C$2:$C$500&gt;'Week 3 Schedule'!$E$2:$E$500))+SUMPRODUCT(--('Week 3 Schedule'!$B$2:$B$500=$B$28),--('Week 3 Schedule'!$D$2:$D$500=$A30),--('Week 3 Schedule'!$E$2:$E$500&gt;'Week 3 Schedule'!$C$2:$C$500)))+(SUMPRODUCT(--('Week 3 Schedule'!$G$2:$G$500=$A30),--('Week 3 Schedule'!$I$2:$I$500=$B$28),--('Week 3 Schedule'!$H$2:$H$500&gt;'Week 3 Schedule'!$J$2:$J$500))+SUMPRODUCT(--('Week 3 Schedule'!$G$2:$G$500=$B$28),--('Week 3 Schedule'!$I$2:$I$500=$A30),--('Week 3 Schedule'!$J$2:$J$500&gt;'Week 3 Schedule'!$H$2:$H$500)))+(SUMPRODUCT(--('Week 4 Schedule'!$B$2:$B$500=$A30),--('Week 4 Schedule'!$D$2:$D$500=$B$28),--('Week 4 Schedule'!$C$2:$C$500&gt;'Week 4 Schedule'!$E$2:$E$500))+SUMPRODUCT(--('Week 4 Schedule'!$B$2:$B$500=$B$28),--('Week 4 Schedule'!$D$2:$D$500=$A30),--('Week 4 Schedule'!$E$2:$E$500&gt;'Week 4 Schedule'!$C$2:$C$500)))+(SUMPRODUCT(--('Week 4 Schedule'!$G$2:$G$500=$A30),--('Week 4 Schedule'!$I$2:$I$500=$B$28),--('Week 4 Schedule'!$H$2:$H$500&gt;'Week 4 Schedule'!$J$2:$J$500))+SUMPRODUCT(--('Week 4 Schedule'!$G$2:$G$500=$B$28),--('Week 4 Schedule'!$I$2:$I$500=$A30),--('Week 4 Schedule'!$J$2:$J$500&gt;'Week 4 Schedule'!$H$2:$H$500)))+(SUMPRODUCT(--('Week 5 Schedule'!$B$2:$B$500=$A30),--('Week 5 Schedule'!$D$2:$D$500=$B$28),--('Week 5 Schedule'!$C$2:$C$500&gt;'Week 5 Schedule'!$E$2:$E$500))+SUMPRODUCT(--('Week 5 Schedule'!$B$2:$B$500=$B$28),--('Week 5 Schedule'!$D$2:$D$500=$A30),--('Week 5 Schedule'!$E$2:$E$500&gt;'Week 5 Schedule'!$C$2:$C$500)))+(SUMPRODUCT(--('Week 5 Schedule'!$G$2:$G$500=$A30),--('Week 5 Schedule'!$I$2:$I$500=$B$28),--('Week 5 Schedule'!$H$2:$H$500&gt;'Week 5 Schedule'!$J$2:$J$500))+SUMPRODUCT(--('Week 5 Schedule'!$G$2:$G$500=$B$28),--('Week 5 Schedule'!$I$2:$I$500=$A30),--('Week 5 Schedule'!$J$2:$J$500&gt;'Week 5 Schedule'!$H$2:$H$500)))+(SUMPRODUCT(--('Week 6 Schedule'!$B$2:$B$500=$A30),--('Week 6 Schedule'!$D$2:$D$500=$B$28),--('Week 6 Schedule'!$C$2:$C$500&gt;'Week 6 Schedule'!$E$2:$E$500))+SUMPRODUCT(--('Week 6 Schedule'!$B$2:$B$500=$B$28),--('Week 6 Schedule'!$D$2:$D$500=$A30),--('Week 6 Schedule'!$E$2:$E$500&gt;'Week 6 Schedule'!$C$2:$C$500)))+(SUMPRODUCT(--('Week 6 Schedule'!$G$2:$G$500=$A30),--('Week 6 Schedule'!$I$2:$I$500=$B$28),--('Week 6 Schedule'!$H$2:$H$500&gt;'Week 6 Schedule'!$J$2:$J$500))+SUMPRODUCT(--('Week 6 Schedule'!$G$2:$G$500=$B$28),--('Week 6 Schedule'!$I$2:$I$500=$A30),--('Week 6 Schedule'!$J$2:$J$500&gt;'Week 6 Schedule'!$H$2:$H$500)))</f>
        <v>#REF!</v>
      </c>
      <c r="C30" t="str">
        <v>—</v>
      </c>
      <c r="D30" t="str">
        <f>(SUMPRODUCT(--('Week 1 Schedule'!$B$2:$B$500=$A30),--('Week 1 Schedule'!$D$2:$D$500=$D$28),--('Week 1 Schedule'!$C$2:$C$500&gt;'Week 1 Schedule'!$E$2:$E$500))+SUMPRODUCT(--('Week 1 Schedule'!$B$2:$B$500=$D$28),--('Week 1 Schedule'!$D$2:$D$500=$A30),--('Week 1 Schedule'!$E$2:$E$500&gt;'Week 1 Schedule'!$C$2:$C$500)))+(SUMPRODUCT(--('Week 1 Schedule'!$G$2:$G$500=$A30),--('Week 1 Schedule'!$I$2:$I$500=$D$28),--('Week 1 Schedule'!$H$2:$H$500&gt;'Week 1 Schedule'!$J$2:$J$500))+SUMPRODUCT(--('Week 1 Schedule'!$G$2:$G$500=$D$28),--('Week 1 Schedule'!$I$2:$I$500=$A30),--('Week 1 Schedule'!$J$2:$J$500&gt;'Week 1 Schedule'!$H$2:$H$500)))+(SUMPRODUCT(--('Week 2 Schedule'!$B$2:$B$500=$A30),--('Week 2 Schedule'!$D$2:$D$500=$D$28),--('Week 2 Schedule'!$C$2:$C$500&gt;'Week 2 Schedule'!$E$2:$E$500))+SUMPRODUCT(--('Week 2 Schedule'!$B$2:$B$500=$D$28),--('Week 2 Schedule'!$D$2:$D$500=$A30),--('Week 2 Schedule'!$E$2:$E$500&gt;'Week 2 Schedule'!$C$2:$C$500)))+(SUMPRODUCT(--('Week 2 Schedule'!$G$2:$G$500=$A30),--('Week 2 Schedule'!$I$2:$I$500=$D$28),--('Week 2 Schedule'!$H$2:$H$500&gt;'Week 2 Schedule'!$J$2:$J$500))+SUMPRODUCT(--('Week 2 Schedule'!$G$2:$G$500=$D$28),--('Week 2 Schedule'!$I$2:$I$500=$A30),--('Week 2 Schedule'!$J$2:$J$500&gt;'Week 2 Schedule'!$H$2:$H$500)))+(SUMPRODUCT(--('Week 3 Schedule'!$B$2:$B$500=$A30),--('Week 3 Schedule'!$D$2:$D$500=$D$28),--('Week 3 Schedule'!$C$2:$C$500&gt;'Week 3 Schedule'!$E$2:$E$500))+SUMPRODUCT(--('Week 3 Schedule'!$B$2:$B$500=$D$28),--('Week 3 Schedule'!$D$2:$D$500=$A30),--('Week 3 Schedule'!$E$2:$E$500&gt;'Week 3 Schedule'!$C$2:$C$500)))+(SUMPRODUCT(--('Week 3 Schedule'!$G$2:$G$500=$A30),--('Week 3 Schedule'!$I$2:$I$500=$D$28),--('Week 3 Schedule'!$H$2:$H$500&gt;'Week 3 Schedule'!$J$2:$J$500))+SUMPRODUCT(--('Week 3 Schedule'!$G$2:$G$500=$D$28),--('Week 3 Schedule'!$I$2:$I$500=$A30),--('Week 3 Schedule'!$J$2:$J$500&gt;'Week 3 Schedule'!$H$2:$H$500)))+(SUMPRODUCT(--('Week 4 Schedule'!$B$2:$B$500=$A30),--('Week 4 Schedule'!$D$2:$D$500=$D$28),--('Week 4 Schedule'!$C$2:$C$500&gt;'Week 4 Schedule'!$E$2:$E$500))+SUMPRODUCT(--('Week 4 Schedule'!$B$2:$B$500=$D$28),--('Week 4 Schedule'!$D$2:$D$500=$A30),--('Week 4 Schedule'!$E$2:$E$500&gt;'Week 4 Schedule'!$C$2:$C$500)))+(SUMPRODUCT(--('Week 4 Schedule'!$G$2:$G$500=$A30),--('Week 4 Schedule'!$I$2:$I$500=$D$28),--('Week 4 Schedule'!$H$2:$H$500&gt;'Week 4 Schedule'!$J$2:$J$500))+SUMPRODUCT(--('Week 4 Schedule'!$G$2:$G$500=$D$28),--('Week 4 Schedule'!$I$2:$I$500=$A30),--('Week 4 Schedule'!$J$2:$J$500&gt;'Week 4 Schedule'!$H$2:$H$500)))+(SUMPRODUCT(--('Week 5 Schedule'!$B$2:$B$500=$A30),--('Week 5 Schedule'!$D$2:$D$500=$D$28),--('Week 5 Schedule'!$C$2:$C$500&gt;'Week 5 Schedule'!$E$2:$E$500))+SUMPRODUCT(--('Week 5 Schedule'!$B$2:$B$500=$D$28),--('Week 5 Schedule'!$D$2:$D$500=$A30),--('Week 5 Schedule'!$E$2:$E$500&gt;'Week 5 Schedule'!$C$2:$C$500)))+(SUMPRODUCT(--('Week 5 Schedule'!$G$2:$G$500=$A30),--('Week 5 Schedule'!$I$2:$I$500=$D$28),--('Week 5 Schedule'!$H$2:$H$500&gt;'Week 5 Schedule'!$J$2:$J$500))+SUMPRODUCT(--('Week 5 Schedule'!$G$2:$G$500=$D$28),--('Week 5 Schedule'!$I$2:$I$500=$A30),--('Week 5 Schedule'!$J$2:$J$500&gt;'Week 5 Schedule'!$H$2:$H$500)))+(SUMPRODUCT(--('Week 6 Schedule'!$B$2:$B$500=$A30),--('Week 6 Schedule'!$D$2:$D$500=$D$28),--('Week 6 Schedule'!$C$2:$C$500&gt;'Week 6 Schedule'!$E$2:$E$500))+SUMPRODUCT(--('Week 6 Schedule'!$B$2:$B$500=$D$28),--('Week 6 Schedule'!$D$2:$D$500=$A30),--('Week 6 Schedule'!$E$2:$E$500&gt;'Week 6 Schedule'!$C$2:$C$500)))+(SUMPRODUCT(--('Week 6 Schedule'!$G$2:$G$500=$A30),--('Week 6 Schedule'!$I$2:$I$500=$D$28),--('Week 6 Schedule'!$H$2:$H$500&gt;'Week 6 Schedule'!$J$2:$J$500))+SUMPRODUCT(--('Week 6 Schedule'!$G$2:$G$500=$D$28),--('Week 6 Schedule'!$I$2:$I$500=$A30),--('Week 6 Schedule'!$J$2:$J$500&gt;'Week 6 Schedule'!$H$2:$H$500)))</f>
        <v>#REF!</v>
      </c>
      <c r="E30" t="str">
        <f>(SUMPRODUCT(--('Week 1 Schedule'!$B$2:$B$500=$A30),--('Week 1 Schedule'!$D$2:$D$500=$E$28),--('Week 1 Schedule'!$C$2:$C$500&gt;'Week 1 Schedule'!$E$2:$E$500))+SUMPRODUCT(--('Week 1 Schedule'!$B$2:$B$500=$E$28),--('Week 1 Schedule'!$D$2:$D$500=$A30),--('Week 1 Schedule'!$E$2:$E$500&gt;'Week 1 Schedule'!$C$2:$C$500)))+(SUMPRODUCT(--('Week 1 Schedule'!$G$2:$G$500=$A30),--('Week 1 Schedule'!$I$2:$I$500=$E$28),--('Week 1 Schedule'!$H$2:$H$500&gt;'Week 1 Schedule'!$J$2:$J$500))+SUMPRODUCT(--('Week 1 Schedule'!$G$2:$G$500=$E$28),--('Week 1 Schedule'!$I$2:$I$500=$A30),--('Week 1 Schedule'!$J$2:$J$500&gt;'Week 1 Schedule'!$H$2:$H$500)))+(SUMPRODUCT(--('Week 2 Schedule'!$B$2:$B$500=$A30),--('Week 2 Schedule'!$D$2:$D$500=$E$28),--('Week 2 Schedule'!$C$2:$C$500&gt;'Week 2 Schedule'!$E$2:$E$500))+SUMPRODUCT(--('Week 2 Schedule'!$B$2:$B$500=$E$28),--('Week 2 Schedule'!$D$2:$D$500=$A30),--('Week 2 Schedule'!$E$2:$E$500&gt;'Week 2 Schedule'!$C$2:$C$500)))+(SUMPRODUCT(--('Week 2 Schedule'!$G$2:$G$500=$A30),--('Week 2 Schedule'!$I$2:$I$500=$E$28),--('Week 2 Schedule'!$H$2:$H$500&gt;'Week 2 Schedule'!$J$2:$J$500))+SUMPRODUCT(--('Week 2 Schedule'!$G$2:$G$500=$E$28),--('Week 2 Schedule'!$I$2:$I$500=$A30),--('Week 2 Schedule'!$J$2:$J$500&gt;'Week 2 Schedule'!$H$2:$H$500)))+(SUMPRODUCT(--('Week 3 Schedule'!$B$2:$B$500=$A30),--('Week 3 Schedule'!$D$2:$D$500=$E$28),--('Week 3 Schedule'!$C$2:$C$500&gt;'Week 3 Schedule'!$E$2:$E$500))+SUMPRODUCT(--('Week 3 Schedule'!$B$2:$B$500=$E$28),--('Week 3 Schedule'!$D$2:$D$500=$A30),--('Week 3 Schedule'!$E$2:$E$500&gt;'Week 3 Schedule'!$C$2:$C$500)))+(SUMPRODUCT(--('Week 3 Schedule'!$G$2:$G$500=$A30),--('Week 3 Schedule'!$I$2:$I$500=$E$28),--('Week 3 Schedule'!$H$2:$H$500&gt;'Week 3 Schedule'!$J$2:$J$500))+SUMPRODUCT(--('Week 3 Schedule'!$G$2:$G$500=$E$28),--('Week 3 Schedule'!$I$2:$I$500=$A30),--('Week 3 Schedule'!$J$2:$J$500&gt;'Week 3 Schedule'!$H$2:$H$500)))+(SUMPRODUCT(--('Week 4 Schedule'!$B$2:$B$500=$A30),--('Week 4 Schedule'!$D$2:$D$500=$E$28),--('Week 4 Schedule'!$C$2:$C$500&gt;'Week 4 Schedule'!$E$2:$E$500))+SUMPRODUCT(--('Week 4 Schedule'!$B$2:$B$500=$E$28),--('Week 4 Schedule'!$D$2:$D$500=$A30),--('Week 4 Schedule'!$E$2:$E$500&gt;'Week 4 Schedule'!$C$2:$C$500)))+(SUMPRODUCT(--('Week 4 Schedule'!$G$2:$G$500=$A30),--('Week 4 Schedule'!$I$2:$I$500=$E$28),--('Week 4 Schedule'!$H$2:$H$500&gt;'Week 4 Schedule'!$J$2:$J$500))+SUMPRODUCT(--('Week 4 Schedule'!$G$2:$G$500=$E$28),--('Week 4 Schedule'!$I$2:$I$500=$A30),--('Week 4 Schedule'!$J$2:$J$500&gt;'Week 4 Schedule'!$H$2:$H$500)))+(SUMPRODUCT(--('Week 5 Schedule'!$B$2:$B$500=$A30),--('Week 5 Schedule'!$D$2:$D$500=$E$28),--('Week 5 Schedule'!$C$2:$C$500&gt;'Week 5 Schedule'!$E$2:$E$500))+SUMPRODUCT(--('Week 5 Schedule'!$B$2:$B$500=$E$28),--('Week 5 Schedule'!$D$2:$D$500=$A30),--('Week 5 Schedule'!$E$2:$E$500&gt;'Week 5 Schedule'!$C$2:$C$500)))+(SUMPRODUCT(--('Week 5 Schedule'!$G$2:$G$500=$A30),--('Week 5 Schedule'!$I$2:$I$500=$E$28),--('Week 5 Schedule'!$H$2:$H$500&gt;'Week 5 Schedule'!$J$2:$J$500))+SUMPRODUCT(--('Week 5 Schedule'!$G$2:$G$500=$E$28),--('Week 5 Schedule'!$I$2:$I$500=$A30),--('Week 5 Schedule'!$J$2:$J$500&gt;'Week 5 Schedule'!$H$2:$H$500)))+(SUMPRODUCT(--('Week 6 Schedule'!$B$2:$B$500=$A30),--('Week 6 Schedule'!$D$2:$D$500=$E$28),--('Week 6 Schedule'!$C$2:$C$500&gt;'Week 6 Schedule'!$E$2:$E$500))+SUMPRODUCT(--('Week 6 Schedule'!$B$2:$B$500=$E$28),--('Week 6 Schedule'!$D$2:$D$500=$A30),--('Week 6 Schedule'!$E$2:$E$500&gt;'Week 6 Schedule'!$C$2:$C$500)))+(SUMPRODUCT(--('Week 6 Schedule'!$G$2:$G$500=$A30),--('Week 6 Schedule'!$I$2:$I$500=$E$28),--('Week 6 Schedule'!$H$2:$H$500&gt;'Week 6 Schedule'!$J$2:$J$500))+SUMPRODUCT(--('Week 6 Schedule'!$G$2:$G$500=$E$28),--('Week 6 Schedule'!$I$2:$I$500=$A30),--('Week 6 Schedule'!$J$2:$J$500&gt;'Week 6 Schedule'!$H$2:$H$500)))</f>
        <v>#REF!</v>
      </c>
      <c r="F30" t="str">
        <f>(SUMPRODUCT(--('Week 1 Schedule'!$B$2:$B$500=$A30),--('Week 1 Schedule'!$D$2:$D$500=$F$28),--('Week 1 Schedule'!$C$2:$C$500&gt;'Week 1 Schedule'!$E$2:$E$500))+SUMPRODUCT(--('Week 1 Schedule'!$B$2:$B$500=$F$28),--('Week 1 Schedule'!$D$2:$D$500=$A30),--('Week 1 Schedule'!$E$2:$E$500&gt;'Week 1 Schedule'!$C$2:$C$500)))+(SUMPRODUCT(--('Week 1 Schedule'!$G$2:$G$500=$A30),--('Week 1 Schedule'!$I$2:$I$500=$F$28),--('Week 1 Schedule'!$H$2:$H$500&gt;'Week 1 Schedule'!$J$2:$J$500))+SUMPRODUCT(--('Week 1 Schedule'!$G$2:$G$500=$F$28),--('Week 1 Schedule'!$I$2:$I$500=$A30),--('Week 1 Schedule'!$J$2:$J$500&gt;'Week 1 Schedule'!$H$2:$H$500)))+(SUMPRODUCT(--('Week 2 Schedule'!$B$2:$B$500=$A30),--('Week 2 Schedule'!$D$2:$D$500=$F$28),--('Week 2 Schedule'!$C$2:$C$500&gt;'Week 2 Schedule'!$E$2:$E$500))+SUMPRODUCT(--('Week 2 Schedule'!$B$2:$B$500=$F$28),--('Week 2 Schedule'!$D$2:$D$500=$A30),--('Week 2 Schedule'!$E$2:$E$500&gt;'Week 2 Schedule'!$C$2:$C$500)))+(SUMPRODUCT(--('Week 2 Schedule'!$G$2:$G$500=$A30),--('Week 2 Schedule'!$I$2:$I$500=$F$28),--('Week 2 Schedule'!$H$2:$H$500&gt;'Week 2 Schedule'!$J$2:$J$500))+SUMPRODUCT(--('Week 2 Schedule'!$G$2:$G$500=$F$28),--('Week 2 Schedule'!$I$2:$I$500=$A30),--('Week 2 Schedule'!$J$2:$J$500&gt;'Week 2 Schedule'!$H$2:$H$500)))+(SUMPRODUCT(--('Week 3 Schedule'!$B$2:$B$500=$A30),--('Week 3 Schedule'!$D$2:$D$500=$F$28),--('Week 3 Schedule'!$C$2:$C$500&gt;'Week 3 Schedule'!$E$2:$E$500))+SUMPRODUCT(--('Week 3 Schedule'!$B$2:$B$500=$F$28),--('Week 3 Schedule'!$D$2:$D$500=$A30),--('Week 3 Schedule'!$E$2:$E$500&gt;'Week 3 Schedule'!$C$2:$C$500)))+(SUMPRODUCT(--('Week 3 Schedule'!$G$2:$G$500=$A30),--('Week 3 Schedule'!$I$2:$I$500=$F$28),--('Week 3 Schedule'!$H$2:$H$500&gt;'Week 3 Schedule'!$J$2:$J$500))+SUMPRODUCT(--('Week 3 Schedule'!$G$2:$G$500=$F$28),--('Week 3 Schedule'!$I$2:$I$500=$A30),--('Week 3 Schedule'!$J$2:$J$500&gt;'Week 3 Schedule'!$H$2:$H$500)))+(SUMPRODUCT(--('Week 4 Schedule'!$B$2:$B$500=$A30),--('Week 4 Schedule'!$D$2:$D$500=$F$28),--('Week 4 Schedule'!$C$2:$C$500&gt;'Week 4 Schedule'!$E$2:$E$500))+SUMPRODUCT(--('Week 4 Schedule'!$B$2:$B$500=$F$28),--('Week 4 Schedule'!$D$2:$D$500=$A30),--('Week 4 Schedule'!$E$2:$E$500&gt;'Week 4 Schedule'!$C$2:$C$500)))+(SUMPRODUCT(--('Week 4 Schedule'!$G$2:$G$500=$A30),--('Week 4 Schedule'!$I$2:$I$500=$F$28),--('Week 4 Schedule'!$H$2:$H$500&gt;'Week 4 Schedule'!$J$2:$J$500))+SUMPRODUCT(--('Week 4 Schedule'!$G$2:$G$500=$F$28),--('Week 4 Schedule'!$I$2:$I$500=$A30),--('Week 4 Schedule'!$J$2:$J$500&gt;'Week 4 Schedule'!$H$2:$H$500)))+(SUMPRODUCT(--('Week 5 Schedule'!$B$2:$B$500=$A30),--('Week 5 Schedule'!$D$2:$D$500=$F$28),--('Week 5 Schedule'!$C$2:$C$500&gt;'Week 5 Schedule'!$E$2:$E$500))+SUMPRODUCT(--('Week 5 Schedule'!$B$2:$B$500=$F$28),--('Week 5 Schedule'!$D$2:$D$500=$A30),--('Week 5 Schedule'!$E$2:$E$500&gt;'Week 5 Schedule'!$C$2:$C$500)))+(SUMPRODUCT(--('Week 5 Schedule'!$G$2:$G$500=$A30),--('Week 5 Schedule'!$I$2:$I$500=$F$28),--('Week 5 Schedule'!$H$2:$H$500&gt;'Week 5 Schedule'!$J$2:$J$500))+SUMPRODUCT(--('Week 5 Schedule'!$G$2:$G$500=$F$28),--('Week 5 Schedule'!$I$2:$I$500=$A30),--('Week 5 Schedule'!$J$2:$J$500&gt;'Week 5 Schedule'!$H$2:$H$500)))+(SUMPRODUCT(--('Week 6 Schedule'!$B$2:$B$500=$A30),--('Week 6 Schedule'!$D$2:$D$500=$F$28),--('Week 6 Schedule'!$C$2:$C$500&gt;'Week 6 Schedule'!$E$2:$E$500))+SUMPRODUCT(--('Week 6 Schedule'!$B$2:$B$500=$F$28),--('Week 6 Schedule'!$D$2:$D$500=$A30),--('Week 6 Schedule'!$E$2:$E$500&gt;'Week 6 Schedule'!$C$2:$C$500)))+(SUMPRODUCT(--('Week 6 Schedule'!$G$2:$G$500=$A30),--('Week 6 Schedule'!$I$2:$I$500=$F$28),--('Week 6 Schedule'!$H$2:$H$500&gt;'Week 6 Schedule'!$J$2:$J$500))+SUMPRODUCT(--('Week 6 Schedule'!$G$2:$G$500=$F$28),--('Week 6 Schedule'!$I$2:$I$500=$A30),--('Week 6 Schedule'!$J$2:$J$500&gt;'Week 6 Schedule'!$H$2:$H$500)))</f>
        <v>#REF!</v>
      </c>
      <c r="G30" t="str">
        <f>(SUMPRODUCT(--('Week 1 Schedule'!$B$2:$B$500=$A30),--('Week 1 Schedule'!$D$2:$D$500=$G$28),--('Week 1 Schedule'!$C$2:$C$500&gt;'Week 1 Schedule'!$E$2:$E$500))+SUMPRODUCT(--('Week 1 Schedule'!$B$2:$B$500=$G$28),--('Week 1 Schedule'!$D$2:$D$500=$A30),--('Week 1 Schedule'!$E$2:$E$500&gt;'Week 1 Schedule'!$C$2:$C$500)))+(SUMPRODUCT(--('Week 1 Schedule'!$G$2:$G$500=$A30),--('Week 1 Schedule'!$I$2:$I$500=$G$28),--('Week 1 Schedule'!$H$2:$H$500&gt;'Week 1 Schedule'!$J$2:$J$500))+SUMPRODUCT(--('Week 1 Schedule'!$G$2:$G$500=$G$28),--('Week 1 Schedule'!$I$2:$I$500=$A30),--('Week 1 Schedule'!$J$2:$J$500&gt;'Week 1 Schedule'!$H$2:$H$500)))+(SUMPRODUCT(--('Week 2 Schedule'!$B$2:$B$500=$A30),--('Week 2 Schedule'!$D$2:$D$500=$G$28),--('Week 2 Schedule'!$C$2:$C$500&gt;'Week 2 Schedule'!$E$2:$E$500))+SUMPRODUCT(--('Week 2 Schedule'!$B$2:$B$500=$G$28),--('Week 2 Schedule'!$D$2:$D$500=$A30),--('Week 2 Schedule'!$E$2:$E$500&gt;'Week 2 Schedule'!$C$2:$C$500)))+(SUMPRODUCT(--('Week 2 Schedule'!$G$2:$G$500=$A30),--('Week 2 Schedule'!$I$2:$I$500=$G$28),--('Week 2 Schedule'!$H$2:$H$500&gt;'Week 2 Schedule'!$J$2:$J$500))+SUMPRODUCT(--('Week 2 Schedule'!$G$2:$G$500=$G$28),--('Week 2 Schedule'!$I$2:$I$500=$A30),--('Week 2 Schedule'!$J$2:$J$500&gt;'Week 2 Schedule'!$H$2:$H$500)))+(SUMPRODUCT(--('Week 3 Schedule'!$B$2:$B$500=$A30),--('Week 3 Schedule'!$D$2:$D$500=$G$28),--('Week 3 Schedule'!$C$2:$C$500&gt;'Week 3 Schedule'!$E$2:$E$500))+SUMPRODUCT(--('Week 3 Schedule'!$B$2:$B$500=$G$28),--('Week 3 Schedule'!$D$2:$D$500=$A30),--('Week 3 Schedule'!$E$2:$E$500&gt;'Week 3 Schedule'!$C$2:$C$500)))+(SUMPRODUCT(--('Week 3 Schedule'!$G$2:$G$500=$A30),--('Week 3 Schedule'!$I$2:$I$500=$G$28),--('Week 3 Schedule'!$H$2:$H$500&gt;'Week 3 Schedule'!$J$2:$J$500))+SUMPRODUCT(--('Week 3 Schedule'!$G$2:$G$500=$G$28),--('Week 3 Schedule'!$I$2:$I$500=$A30),--('Week 3 Schedule'!$J$2:$J$500&gt;'Week 3 Schedule'!$H$2:$H$500)))+(SUMPRODUCT(--('Week 4 Schedule'!$B$2:$B$500=$A30),--('Week 4 Schedule'!$D$2:$D$500=$G$28),--('Week 4 Schedule'!$C$2:$C$500&gt;'Week 4 Schedule'!$E$2:$E$500))+SUMPRODUCT(--('Week 4 Schedule'!$B$2:$B$500=$G$28),--('Week 4 Schedule'!$D$2:$D$500=$A30),--('Week 4 Schedule'!$E$2:$E$500&gt;'Week 4 Schedule'!$C$2:$C$500)))+(SUMPRODUCT(--('Week 4 Schedule'!$G$2:$G$500=$A30),--('Week 4 Schedule'!$I$2:$I$500=$G$28),--('Week 4 Schedule'!$H$2:$H$500&gt;'Week 4 Schedule'!$J$2:$J$500))+SUMPRODUCT(--('Week 4 Schedule'!$G$2:$G$500=$G$28),--('Week 4 Schedule'!$I$2:$I$500=$A30),--('Week 4 Schedule'!$J$2:$J$500&gt;'Week 4 Schedule'!$H$2:$H$500)))+(SUMPRODUCT(--('Week 5 Schedule'!$B$2:$B$500=$A30),--('Week 5 Schedule'!$D$2:$D$500=$G$28),--('Week 5 Schedule'!$C$2:$C$500&gt;'Week 5 Schedule'!$E$2:$E$500))+SUMPRODUCT(--('Week 5 Schedule'!$B$2:$B$500=$G$28),--('Week 5 Schedule'!$D$2:$D$500=$A30),--('Week 5 Schedule'!$E$2:$E$500&gt;'Week 5 Schedule'!$C$2:$C$500)))+(SUMPRODUCT(--('Week 5 Schedule'!$G$2:$G$500=$A30),--('Week 5 Schedule'!$I$2:$I$500=$G$28),--('Week 5 Schedule'!$H$2:$H$500&gt;'Week 5 Schedule'!$J$2:$J$500))+SUMPRODUCT(--('Week 5 Schedule'!$G$2:$G$500=$G$28),--('Week 5 Schedule'!$I$2:$I$500=$A30),--('Week 5 Schedule'!$J$2:$J$500&gt;'Week 5 Schedule'!$H$2:$H$500)))+(SUMPRODUCT(--('Week 6 Schedule'!$B$2:$B$500=$A30),--('Week 6 Schedule'!$D$2:$D$500=$G$28),--('Week 6 Schedule'!$C$2:$C$500&gt;'Week 6 Schedule'!$E$2:$E$500))+SUMPRODUCT(--('Week 6 Schedule'!$B$2:$B$500=$G$28),--('Week 6 Schedule'!$D$2:$D$500=$A30),--('Week 6 Schedule'!$E$2:$E$500&gt;'Week 6 Schedule'!$C$2:$C$500)))+(SUMPRODUCT(--('Week 6 Schedule'!$G$2:$G$500=$A30),--('Week 6 Schedule'!$I$2:$I$500=$G$28),--('Week 6 Schedule'!$H$2:$H$500&gt;'Week 6 Schedule'!$J$2:$J$500))+SUMPRODUCT(--('Week 6 Schedule'!$G$2:$G$500=$G$28),--('Week 6 Schedule'!$I$2:$I$500=$A30),--('Week 6 Schedule'!$J$2:$J$500&gt;'Week 6 Schedule'!$H$2:$H$500)))</f>
        <v>#REF!</v>
      </c>
      <c r="H30" t="str">
        <f>(SUMPRODUCT(--('Week 1 Schedule'!$B$2:$B$500=$A30),--('Week 1 Schedule'!$D$2:$D$500=$H$28),--('Week 1 Schedule'!$C$2:$C$500&gt;'Week 1 Schedule'!$E$2:$E$500))+SUMPRODUCT(--('Week 1 Schedule'!$B$2:$B$500=$H$28),--('Week 1 Schedule'!$D$2:$D$500=$A30),--('Week 1 Schedule'!$E$2:$E$500&gt;'Week 1 Schedule'!$C$2:$C$500)))+(SUMPRODUCT(--('Week 1 Schedule'!$G$2:$G$500=$A30),--('Week 1 Schedule'!$I$2:$I$500=$H$28),--('Week 1 Schedule'!$H$2:$H$500&gt;'Week 1 Schedule'!$J$2:$J$500))+SUMPRODUCT(--('Week 1 Schedule'!$G$2:$G$500=$H$28),--('Week 1 Schedule'!$I$2:$I$500=$A30),--('Week 1 Schedule'!$J$2:$J$500&gt;'Week 1 Schedule'!$H$2:$H$500)))+(SUMPRODUCT(--('Week 2 Schedule'!$B$2:$B$500=$A30),--('Week 2 Schedule'!$D$2:$D$500=$H$28),--('Week 2 Schedule'!$C$2:$C$500&gt;'Week 2 Schedule'!$E$2:$E$500))+SUMPRODUCT(--('Week 2 Schedule'!$B$2:$B$500=$H$28),--('Week 2 Schedule'!$D$2:$D$500=$A30),--('Week 2 Schedule'!$E$2:$E$500&gt;'Week 2 Schedule'!$C$2:$C$500)))+(SUMPRODUCT(--('Week 2 Schedule'!$G$2:$G$500=$A30),--('Week 2 Schedule'!$I$2:$I$500=$H$28),--('Week 2 Schedule'!$H$2:$H$500&gt;'Week 2 Schedule'!$J$2:$J$500))+SUMPRODUCT(--('Week 2 Schedule'!$G$2:$G$500=$H$28),--('Week 2 Schedule'!$I$2:$I$500=$A30),--('Week 2 Schedule'!$J$2:$J$500&gt;'Week 2 Schedule'!$H$2:$H$500)))+(SUMPRODUCT(--('Week 3 Schedule'!$B$2:$B$500=$A30),--('Week 3 Schedule'!$D$2:$D$500=$H$28),--('Week 3 Schedule'!$C$2:$C$500&gt;'Week 3 Schedule'!$E$2:$E$500))+SUMPRODUCT(--('Week 3 Schedule'!$B$2:$B$500=$H$28),--('Week 3 Schedule'!$D$2:$D$500=$A30),--('Week 3 Schedule'!$E$2:$E$500&gt;'Week 3 Schedule'!$C$2:$C$500)))+(SUMPRODUCT(--('Week 3 Schedule'!$G$2:$G$500=$A30),--('Week 3 Schedule'!$I$2:$I$500=$H$28),--('Week 3 Schedule'!$H$2:$H$500&gt;'Week 3 Schedule'!$J$2:$J$500))+SUMPRODUCT(--('Week 3 Schedule'!$G$2:$G$500=$H$28),--('Week 3 Schedule'!$I$2:$I$500=$A30),--('Week 3 Schedule'!$J$2:$J$500&gt;'Week 3 Schedule'!$H$2:$H$500)))+(SUMPRODUCT(--('Week 4 Schedule'!$B$2:$B$500=$A30),--('Week 4 Schedule'!$D$2:$D$500=$H$28),--('Week 4 Schedule'!$C$2:$C$500&gt;'Week 4 Schedule'!$E$2:$E$500))+SUMPRODUCT(--('Week 4 Schedule'!$B$2:$B$500=$H$28),--('Week 4 Schedule'!$D$2:$D$500=$A30),--('Week 4 Schedule'!$E$2:$E$500&gt;'Week 4 Schedule'!$C$2:$C$500)))+(SUMPRODUCT(--('Week 4 Schedule'!$G$2:$G$500=$A30),--('Week 4 Schedule'!$I$2:$I$500=$H$28),--('Week 4 Schedule'!$H$2:$H$500&gt;'Week 4 Schedule'!$J$2:$J$500))+SUMPRODUCT(--('Week 4 Schedule'!$G$2:$G$500=$H$28),--('Week 4 Schedule'!$I$2:$I$500=$A30),--('Week 4 Schedule'!$J$2:$J$500&gt;'Week 4 Schedule'!$H$2:$H$500)))+(SUMPRODUCT(--('Week 5 Schedule'!$B$2:$B$500=$A30),--('Week 5 Schedule'!$D$2:$D$500=$H$28),--('Week 5 Schedule'!$C$2:$C$500&gt;'Week 5 Schedule'!$E$2:$E$500))+SUMPRODUCT(--('Week 5 Schedule'!$B$2:$B$500=$H$28),--('Week 5 Schedule'!$D$2:$D$500=$A30),--('Week 5 Schedule'!$E$2:$E$500&gt;'Week 5 Schedule'!$C$2:$C$500)))+(SUMPRODUCT(--('Week 5 Schedule'!$G$2:$G$500=$A30),--('Week 5 Schedule'!$I$2:$I$500=$H$28),--('Week 5 Schedule'!$H$2:$H$500&gt;'Week 5 Schedule'!$J$2:$J$500))+SUMPRODUCT(--('Week 5 Schedule'!$G$2:$G$500=$H$28),--('Week 5 Schedule'!$I$2:$I$500=$A30),--('Week 5 Schedule'!$J$2:$J$500&gt;'Week 5 Schedule'!$H$2:$H$500)))+(SUMPRODUCT(--('Week 6 Schedule'!$B$2:$B$500=$A30),--('Week 6 Schedule'!$D$2:$D$500=$H$28),--('Week 6 Schedule'!$C$2:$C$500&gt;'Week 6 Schedule'!$E$2:$E$500))+SUMPRODUCT(--('Week 6 Schedule'!$B$2:$B$500=$H$28),--('Week 6 Schedule'!$D$2:$D$500=$A30),--('Week 6 Schedule'!$E$2:$E$500&gt;'Week 6 Schedule'!$C$2:$C$500)))+(SUMPRODUCT(--('Week 6 Schedule'!$G$2:$G$500=$A30),--('Week 6 Schedule'!$I$2:$I$500=$H$28),--('Week 6 Schedule'!$H$2:$H$500&gt;'Week 6 Schedule'!$J$2:$J$500))+SUMPRODUCT(--('Week 6 Schedule'!$G$2:$G$500=$H$28),--('Week 6 Schedule'!$I$2:$I$500=$A30),--('Week 6 Schedule'!$J$2:$J$500&gt;'Week 6 Schedule'!$H$2:$H$500)))</f>
        <v>#REF!</v>
      </c>
      <c r="I30" t="str">
        <f>(SUMPRODUCT(--('Week 1 Schedule'!$B$2:$B$500=$A30),--('Week 1 Schedule'!$D$2:$D$500=$I$28),--('Week 1 Schedule'!$C$2:$C$500&gt;'Week 1 Schedule'!$E$2:$E$500))+SUMPRODUCT(--('Week 1 Schedule'!$B$2:$B$500=$I$28),--('Week 1 Schedule'!$D$2:$D$500=$A30),--('Week 1 Schedule'!$E$2:$E$500&gt;'Week 1 Schedule'!$C$2:$C$500)))+(SUMPRODUCT(--('Week 1 Schedule'!$G$2:$G$500=$A30),--('Week 1 Schedule'!$I$2:$I$500=$I$28),--('Week 1 Schedule'!$H$2:$H$500&gt;'Week 1 Schedule'!$J$2:$J$500))+SUMPRODUCT(--('Week 1 Schedule'!$G$2:$G$500=$I$28),--('Week 1 Schedule'!$I$2:$I$500=$A30),--('Week 1 Schedule'!$J$2:$J$500&gt;'Week 1 Schedule'!$H$2:$H$500)))+(SUMPRODUCT(--('Week 2 Schedule'!$B$2:$B$500=$A30),--('Week 2 Schedule'!$D$2:$D$500=$I$28),--('Week 2 Schedule'!$C$2:$C$500&gt;'Week 2 Schedule'!$E$2:$E$500))+SUMPRODUCT(--('Week 2 Schedule'!$B$2:$B$500=$I$28),--('Week 2 Schedule'!$D$2:$D$500=$A30),--('Week 2 Schedule'!$E$2:$E$500&gt;'Week 2 Schedule'!$C$2:$C$500)))+(SUMPRODUCT(--('Week 2 Schedule'!$G$2:$G$500=$A30),--('Week 2 Schedule'!$I$2:$I$500=$I$28),--('Week 2 Schedule'!$H$2:$H$500&gt;'Week 2 Schedule'!$J$2:$J$500))+SUMPRODUCT(--('Week 2 Schedule'!$G$2:$G$500=$I$28),--('Week 2 Schedule'!$I$2:$I$500=$A30),--('Week 2 Schedule'!$J$2:$J$500&gt;'Week 2 Schedule'!$H$2:$H$500)))+(SUMPRODUCT(--('Week 3 Schedule'!$B$2:$B$500=$A30),--('Week 3 Schedule'!$D$2:$D$500=$I$28),--('Week 3 Schedule'!$C$2:$C$500&gt;'Week 3 Schedule'!$E$2:$E$500))+SUMPRODUCT(--('Week 3 Schedule'!$B$2:$B$500=$I$28),--('Week 3 Schedule'!$D$2:$D$500=$A30),--('Week 3 Schedule'!$E$2:$E$500&gt;'Week 3 Schedule'!$C$2:$C$500)))+(SUMPRODUCT(--('Week 3 Schedule'!$G$2:$G$500=$A30),--('Week 3 Schedule'!$I$2:$I$500=$I$28),--('Week 3 Schedule'!$H$2:$H$500&gt;'Week 3 Schedule'!$J$2:$J$500))+SUMPRODUCT(--('Week 3 Schedule'!$G$2:$G$500=$I$28),--('Week 3 Schedule'!$I$2:$I$500=$A30),--('Week 3 Schedule'!$J$2:$J$500&gt;'Week 3 Schedule'!$H$2:$H$500)))+(SUMPRODUCT(--('Week 4 Schedule'!$B$2:$B$500=$A30),--('Week 4 Schedule'!$D$2:$D$500=$I$28),--('Week 4 Schedule'!$C$2:$C$500&gt;'Week 4 Schedule'!$E$2:$E$500))+SUMPRODUCT(--('Week 4 Schedule'!$B$2:$B$500=$I$28),--('Week 4 Schedule'!$D$2:$D$500=$A30),--('Week 4 Schedule'!$E$2:$E$500&gt;'Week 4 Schedule'!$C$2:$C$500)))+(SUMPRODUCT(--('Week 4 Schedule'!$G$2:$G$500=$A30),--('Week 4 Schedule'!$I$2:$I$500=$I$28),--('Week 4 Schedule'!$H$2:$H$500&gt;'Week 4 Schedule'!$J$2:$J$500))+SUMPRODUCT(--('Week 4 Schedule'!$G$2:$G$500=$I$28),--('Week 4 Schedule'!$I$2:$I$500=$A30),--('Week 4 Schedule'!$J$2:$J$500&gt;'Week 4 Schedule'!$H$2:$H$500)))+(SUMPRODUCT(--('Week 5 Schedule'!$B$2:$B$500=$A30),--('Week 5 Schedule'!$D$2:$D$500=$I$28),--('Week 5 Schedule'!$C$2:$C$500&gt;'Week 5 Schedule'!$E$2:$E$500))+SUMPRODUCT(--('Week 5 Schedule'!$B$2:$B$500=$I$28),--('Week 5 Schedule'!$D$2:$D$500=$A30),--('Week 5 Schedule'!$E$2:$E$500&gt;'Week 5 Schedule'!$C$2:$C$500)))+(SUMPRODUCT(--('Week 5 Schedule'!$G$2:$G$500=$A30),--('Week 5 Schedule'!$I$2:$I$500=$I$28),--('Week 5 Schedule'!$H$2:$H$500&gt;'Week 5 Schedule'!$J$2:$J$500))+SUMPRODUCT(--('Week 5 Schedule'!$G$2:$G$500=$I$28),--('Week 5 Schedule'!$I$2:$I$500=$A30),--('Week 5 Schedule'!$J$2:$J$500&gt;'Week 5 Schedule'!$H$2:$H$500)))+(SUMPRODUCT(--('Week 6 Schedule'!$B$2:$B$500=$A30),--('Week 6 Schedule'!$D$2:$D$500=$I$28),--('Week 6 Schedule'!$C$2:$C$500&gt;'Week 6 Schedule'!$E$2:$E$500))+SUMPRODUCT(--('Week 6 Schedule'!$B$2:$B$500=$I$28),--('Week 6 Schedule'!$D$2:$D$500=$A30),--('Week 6 Schedule'!$E$2:$E$500&gt;'Week 6 Schedule'!$C$2:$C$500)))+(SUMPRODUCT(--('Week 6 Schedule'!$G$2:$G$500=$A30),--('Week 6 Schedule'!$I$2:$I$500=$I$28),--('Week 6 Schedule'!$H$2:$H$500&gt;'Week 6 Schedule'!$J$2:$J$500))+SUMPRODUCT(--('Week 6 Schedule'!$G$2:$G$500=$I$28),--('Week 6 Schedule'!$I$2:$I$500=$A30),--('Week 6 Schedule'!$J$2:$J$500&gt;'Week 6 Schedule'!$H$2:$H$500)))</f>
        <v>#REF!</v>
      </c>
    </row>
    <row r="31">
      <c r="A31" t="str">
        <v>Most Improved</v>
      </c>
      <c r="B31" t="str">
        <f>(SUMPRODUCT(--('Week 1 Schedule'!$B$2:$B$500=$A31),--('Week 1 Schedule'!$D$2:$D$500=$B$28),--('Week 1 Schedule'!$C$2:$C$500&gt;'Week 1 Schedule'!$E$2:$E$500))+SUMPRODUCT(--('Week 1 Schedule'!$B$2:$B$500=$B$28),--('Week 1 Schedule'!$D$2:$D$500=$A31),--('Week 1 Schedule'!$E$2:$E$500&gt;'Week 1 Schedule'!$C$2:$C$500)))+(SUMPRODUCT(--('Week 1 Schedule'!$G$2:$G$500=$A31),--('Week 1 Schedule'!$I$2:$I$500=$B$28),--('Week 1 Schedule'!$H$2:$H$500&gt;'Week 1 Schedule'!$J$2:$J$500))+SUMPRODUCT(--('Week 1 Schedule'!$G$2:$G$500=$B$28),--('Week 1 Schedule'!$I$2:$I$500=$A31),--('Week 1 Schedule'!$J$2:$J$500&gt;'Week 1 Schedule'!$H$2:$H$500)))+(SUMPRODUCT(--('Week 2 Schedule'!$B$2:$B$500=$A31),--('Week 2 Schedule'!$D$2:$D$500=$B$28),--('Week 2 Schedule'!$C$2:$C$500&gt;'Week 2 Schedule'!$E$2:$E$500))+SUMPRODUCT(--('Week 2 Schedule'!$B$2:$B$500=$B$28),--('Week 2 Schedule'!$D$2:$D$500=$A31),--('Week 2 Schedule'!$E$2:$E$500&gt;'Week 2 Schedule'!$C$2:$C$500)))+(SUMPRODUCT(--('Week 2 Schedule'!$G$2:$G$500=$A31),--('Week 2 Schedule'!$I$2:$I$500=$B$28),--('Week 2 Schedule'!$H$2:$H$500&gt;'Week 2 Schedule'!$J$2:$J$500))+SUMPRODUCT(--('Week 2 Schedule'!$G$2:$G$500=$B$28),--('Week 2 Schedule'!$I$2:$I$500=$A31),--('Week 2 Schedule'!$J$2:$J$500&gt;'Week 2 Schedule'!$H$2:$H$500)))+(SUMPRODUCT(--('Week 3 Schedule'!$B$2:$B$500=$A31),--('Week 3 Schedule'!$D$2:$D$500=$B$28),--('Week 3 Schedule'!$C$2:$C$500&gt;'Week 3 Schedule'!$E$2:$E$500))+SUMPRODUCT(--('Week 3 Schedule'!$B$2:$B$500=$B$28),--('Week 3 Schedule'!$D$2:$D$500=$A31),--('Week 3 Schedule'!$E$2:$E$500&gt;'Week 3 Schedule'!$C$2:$C$500)))+(SUMPRODUCT(--('Week 3 Schedule'!$G$2:$G$500=$A31),--('Week 3 Schedule'!$I$2:$I$500=$B$28),--('Week 3 Schedule'!$H$2:$H$500&gt;'Week 3 Schedule'!$J$2:$J$500))+SUMPRODUCT(--('Week 3 Schedule'!$G$2:$G$500=$B$28),--('Week 3 Schedule'!$I$2:$I$500=$A31),--('Week 3 Schedule'!$J$2:$J$500&gt;'Week 3 Schedule'!$H$2:$H$500)))+(SUMPRODUCT(--('Week 4 Schedule'!$B$2:$B$500=$A31),--('Week 4 Schedule'!$D$2:$D$500=$B$28),--('Week 4 Schedule'!$C$2:$C$500&gt;'Week 4 Schedule'!$E$2:$E$500))+SUMPRODUCT(--('Week 4 Schedule'!$B$2:$B$500=$B$28),--('Week 4 Schedule'!$D$2:$D$500=$A31),--('Week 4 Schedule'!$E$2:$E$500&gt;'Week 4 Schedule'!$C$2:$C$500)))+(SUMPRODUCT(--('Week 4 Schedule'!$G$2:$G$500=$A31),--('Week 4 Schedule'!$I$2:$I$500=$B$28),--('Week 4 Schedule'!$H$2:$H$500&gt;'Week 4 Schedule'!$J$2:$J$500))+SUMPRODUCT(--('Week 4 Schedule'!$G$2:$G$500=$B$28),--('Week 4 Schedule'!$I$2:$I$500=$A31),--('Week 4 Schedule'!$J$2:$J$500&gt;'Week 4 Schedule'!$H$2:$H$500)))+(SUMPRODUCT(--('Week 5 Schedule'!$B$2:$B$500=$A31),--('Week 5 Schedule'!$D$2:$D$500=$B$28),--('Week 5 Schedule'!$C$2:$C$500&gt;'Week 5 Schedule'!$E$2:$E$500))+SUMPRODUCT(--('Week 5 Schedule'!$B$2:$B$500=$B$28),--('Week 5 Schedule'!$D$2:$D$500=$A31),--('Week 5 Schedule'!$E$2:$E$500&gt;'Week 5 Schedule'!$C$2:$C$500)))+(SUMPRODUCT(--('Week 5 Schedule'!$G$2:$G$500=$A31),--('Week 5 Schedule'!$I$2:$I$500=$B$28),--('Week 5 Schedule'!$H$2:$H$500&gt;'Week 5 Schedule'!$J$2:$J$500))+SUMPRODUCT(--('Week 5 Schedule'!$G$2:$G$500=$B$28),--('Week 5 Schedule'!$I$2:$I$500=$A31),--('Week 5 Schedule'!$J$2:$J$500&gt;'Week 5 Schedule'!$H$2:$H$500)))+(SUMPRODUCT(--('Week 6 Schedule'!$B$2:$B$500=$A31),--('Week 6 Schedule'!$D$2:$D$500=$B$28),--('Week 6 Schedule'!$C$2:$C$500&gt;'Week 6 Schedule'!$E$2:$E$500))+SUMPRODUCT(--('Week 6 Schedule'!$B$2:$B$500=$B$28),--('Week 6 Schedule'!$D$2:$D$500=$A31),--('Week 6 Schedule'!$E$2:$E$500&gt;'Week 6 Schedule'!$C$2:$C$500)))+(SUMPRODUCT(--('Week 6 Schedule'!$G$2:$G$500=$A31),--('Week 6 Schedule'!$I$2:$I$500=$B$28),--('Week 6 Schedule'!$H$2:$H$500&gt;'Week 6 Schedule'!$J$2:$J$500))+SUMPRODUCT(--('Week 6 Schedule'!$G$2:$G$500=$B$28),--('Week 6 Schedule'!$I$2:$I$500=$A31),--('Week 6 Schedule'!$J$2:$J$500&gt;'Week 6 Schedule'!$H$2:$H$500)))</f>
        <v>#REF!</v>
      </c>
      <c r="C31" t="str">
        <f>(SUMPRODUCT(--('Week 1 Schedule'!$B$2:$B$500=$A31),--('Week 1 Schedule'!$D$2:$D$500=$C$28),--('Week 1 Schedule'!$C$2:$C$500&gt;'Week 1 Schedule'!$E$2:$E$500))+SUMPRODUCT(--('Week 1 Schedule'!$B$2:$B$500=$C$28),--('Week 1 Schedule'!$D$2:$D$500=$A31),--('Week 1 Schedule'!$E$2:$E$500&gt;'Week 1 Schedule'!$C$2:$C$500)))+(SUMPRODUCT(--('Week 1 Schedule'!$G$2:$G$500=$A31),--('Week 1 Schedule'!$I$2:$I$500=$C$28),--('Week 1 Schedule'!$H$2:$H$500&gt;'Week 1 Schedule'!$J$2:$J$500))+SUMPRODUCT(--('Week 1 Schedule'!$G$2:$G$500=$C$28),--('Week 1 Schedule'!$I$2:$I$500=$A31),--('Week 1 Schedule'!$J$2:$J$500&gt;'Week 1 Schedule'!$H$2:$H$500)))+(SUMPRODUCT(--('Week 2 Schedule'!$B$2:$B$500=$A31),--('Week 2 Schedule'!$D$2:$D$500=$C$28),--('Week 2 Schedule'!$C$2:$C$500&gt;'Week 2 Schedule'!$E$2:$E$500))+SUMPRODUCT(--('Week 2 Schedule'!$B$2:$B$500=$C$28),--('Week 2 Schedule'!$D$2:$D$500=$A31),--('Week 2 Schedule'!$E$2:$E$500&gt;'Week 2 Schedule'!$C$2:$C$500)))+(SUMPRODUCT(--('Week 2 Schedule'!$G$2:$G$500=$A31),--('Week 2 Schedule'!$I$2:$I$500=$C$28),--('Week 2 Schedule'!$H$2:$H$500&gt;'Week 2 Schedule'!$J$2:$J$500))+SUMPRODUCT(--('Week 2 Schedule'!$G$2:$G$500=$C$28),--('Week 2 Schedule'!$I$2:$I$500=$A31),--('Week 2 Schedule'!$J$2:$J$500&gt;'Week 2 Schedule'!$H$2:$H$500)))+(SUMPRODUCT(--('Week 3 Schedule'!$B$2:$B$500=$A31),--('Week 3 Schedule'!$D$2:$D$500=$C$28),--('Week 3 Schedule'!$C$2:$C$500&gt;'Week 3 Schedule'!$E$2:$E$500))+SUMPRODUCT(--('Week 3 Schedule'!$B$2:$B$500=$C$28),--('Week 3 Schedule'!$D$2:$D$500=$A31),--('Week 3 Schedule'!$E$2:$E$500&gt;'Week 3 Schedule'!$C$2:$C$500)))+(SUMPRODUCT(--('Week 3 Schedule'!$G$2:$G$500=$A31),--('Week 3 Schedule'!$I$2:$I$500=$C$28),--('Week 3 Schedule'!$H$2:$H$500&gt;'Week 3 Schedule'!$J$2:$J$500))+SUMPRODUCT(--('Week 3 Schedule'!$G$2:$G$500=$C$28),--('Week 3 Schedule'!$I$2:$I$500=$A31),--('Week 3 Schedule'!$J$2:$J$500&gt;'Week 3 Schedule'!$H$2:$H$500)))+(SUMPRODUCT(--('Week 4 Schedule'!$B$2:$B$500=$A31),--('Week 4 Schedule'!$D$2:$D$500=$C$28),--('Week 4 Schedule'!$C$2:$C$500&gt;'Week 4 Schedule'!$E$2:$E$500))+SUMPRODUCT(--('Week 4 Schedule'!$B$2:$B$500=$C$28),--('Week 4 Schedule'!$D$2:$D$500=$A31),--('Week 4 Schedule'!$E$2:$E$500&gt;'Week 4 Schedule'!$C$2:$C$500)))+(SUMPRODUCT(--('Week 4 Schedule'!$G$2:$G$500=$A31),--('Week 4 Schedule'!$I$2:$I$500=$C$28),--('Week 4 Schedule'!$H$2:$H$500&gt;'Week 4 Schedule'!$J$2:$J$500))+SUMPRODUCT(--('Week 4 Schedule'!$G$2:$G$500=$C$28),--('Week 4 Schedule'!$I$2:$I$500=$A31),--('Week 4 Schedule'!$J$2:$J$500&gt;'Week 4 Schedule'!$H$2:$H$500)))+(SUMPRODUCT(--('Week 5 Schedule'!$B$2:$B$500=$A31),--('Week 5 Schedule'!$D$2:$D$500=$C$28),--('Week 5 Schedule'!$C$2:$C$500&gt;'Week 5 Schedule'!$E$2:$E$500))+SUMPRODUCT(--('Week 5 Schedule'!$B$2:$B$500=$C$28),--('Week 5 Schedule'!$D$2:$D$500=$A31),--('Week 5 Schedule'!$E$2:$E$500&gt;'Week 5 Schedule'!$C$2:$C$500)))+(SUMPRODUCT(--('Week 5 Schedule'!$G$2:$G$500=$A31),--('Week 5 Schedule'!$I$2:$I$500=$C$28),--('Week 5 Schedule'!$H$2:$H$500&gt;'Week 5 Schedule'!$J$2:$J$500))+SUMPRODUCT(--('Week 5 Schedule'!$G$2:$G$500=$C$28),--('Week 5 Schedule'!$I$2:$I$500=$A31),--('Week 5 Schedule'!$J$2:$J$500&gt;'Week 5 Schedule'!$H$2:$H$500)))+(SUMPRODUCT(--('Week 6 Schedule'!$B$2:$B$500=$A31),--('Week 6 Schedule'!$D$2:$D$500=$C$28),--('Week 6 Schedule'!$C$2:$C$500&gt;'Week 6 Schedule'!$E$2:$E$500))+SUMPRODUCT(--('Week 6 Schedule'!$B$2:$B$500=$C$28),--('Week 6 Schedule'!$D$2:$D$500=$A31),--('Week 6 Schedule'!$E$2:$E$500&gt;'Week 6 Schedule'!$C$2:$C$500)))+(SUMPRODUCT(--('Week 6 Schedule'!$G$2:$G$500=$A31),--('Week 6 Schedule'!$I$2:$I$500=$C$28),--('Week 6 Schedule'!$H$2:$H$500&gt;'Week 6 Schedule'!$J$2:$J$500))+SUMPRODUCT(--('Week 6 Schedule'!$G$2:$G$500=$C$28),--('Week 6 Schedule'!$I$2:$I$500=$A31),--('Week 6 Schedule'!$J$2:$J$500&gt;'Week 6 Schedule'!$H$2:$H$500)))</f>
        <v>#REF!</v>
      </c>
      <c r="D31" t="str">
        <v>—</v>
      </c>
      <c r="E31" t="str">
        <f>(SUMPRODUCT(--('Week 1 Schedule'!$B$2:$B$500=$A31),--('Week 1 Schedule'!$D$2:$D$500=$E$28),--('Week 1 Schedule'!$C$2:$C$500&gt;'Week 1 Schedule'!$E$2:$E$500))+SUMPRODUCT(--('Week 1 Schedule'!$B$2:$B$500=$E$28),--('Week 1 Schedule'!$D$2:$D$500=$A31),--('Week 1 Schedule'!$E$2:$E$500&gt;'Week 1 Schedule'!$C$2:$C$500)))+(SUMPRODUCT(--('Week 1 Schedule'!$G$2:$G$500=$A31),--('Week 1 Schedule'!$I$2:$I$500=$E$28),--('Week 1 Schedule'!$H$2:$H$500&gt;'Week 1 Schedule'!$J$2:$J$500))+SUMPRODUCT(--('Week 1 Schedule'!$G$2:$G$500=$E$28),--('Week 1 Schedule'!$I$2:$I$500=$A31),--('Week 1 Schedule'!$J$2:$J$500&gt;'Week 1 Schedule'!$H$2:$H$500)))+(SUMPRODUCT(--('Week 2 Schedule'!$B$2:$B$500=$A31),--('Week 2 Schedule'!$D$2:$D$500=$E$28),--('Week 2 Schedule'!$C$2:$C$500&gt;'Week 2 Schedule'!$E$2:$E$500))+SUMPRODUCT(--('Week 2 Schedule'!$B$2:$B$500=$E$28),--('Week 2 Schedule'!$D$2:$D$500=$A31),--('Week 2 Schedule'!$E$2:$E$500&gt;'Week 2 Schedule'!$C$2:$C$500)))+(SUMPRODUCT(--('Week 2 Schedule'!$G$2:$G$500=$A31),--('Week 2 Schedule'!$I$2:$I$500=$E$28),--('Week 2 Schedule'!$H$2:$H$500&gt;'Week 2 Schedule'!$J$2:$J$500))+SUMPRODUCT(--('Week 2 Schedule'!$G$2:$G$500=$E$28),--('Week 2 Schedule'!$I$2:$I$500=$A31),--('Week 2 Schedule'!$J$2:$J$500&gt;'Week 2 Schedule'!$H$2:$H$500)))+(SUMPRODUCT(--('Week 3 Schedule'!$B$2:$B$500=$A31),--('Week 3 Schedule'!$D$2:$D$500=$E$28),--('Week 3 Schedule'!$C$2:$C$500&gt;'Week 3 Schedule'!$E$2:$E$500))+SUMPRODUCT(--('Week 3 Schedule'!$B$2:$B$500=$E$28),--('Week 3 Schedule'!$D$2:$D$500=$A31),--('Week 3 Schedule'!$E$2:$E$500&gt;'Week 3 Schedule'!$C$2:$C$500)))+(SUMPRODUCT(--('Week 3 Schedule'!$G$2:$G$500=$A31),--('Week 3 Schedule'!$I$2:$I$500=$E$28),--('Week 3 Schedule'!$H$2:$H$500&gt;'Week 3 Schedule'!$J$2:$J$500))+SUMPRODUCT(--('Week 3 Schedule'!$G$2:$G$500=$E$28),--('Week 3 Schedule'!$I$2:$I$500=$A31),--('Week 3 Schedule'!$J$2:$J$500&gt;'Week 3 Schedule'!$H$2:$H$500)))+(SUMPRODUCT(--('Week 4 Schedule'!$B$2:$B$500=$A31),--('Week 4 Schedule'!$D$2:$D$500=$E$28),--('Week 4 Schedule'!$C$2:$C$500&gt;'Week 4 Schedule'!$E$2:$E$500))+SUMPRODUCT(--('Week 4 Schedule'!$B$2:$B$500=$E$28),--('Week 4 Schedule'!$D$2:$D$500=$A31),--('Week 4 Schedule'!$E$2:$E$500&gt;'Week 4 Schedule'!$C$2:$C$500)))+(SUMPRODUCT(--('Week 4 Schedule'!$G$2:$G$500=$A31),--('Week 4 Schedule'!$I$2:$I$500=$E$28),--('Week 4 Schedule'!$H$2:$H$500&gt;'Week 4 Schedule'!$J$2:$J$500))+SUMPRODUCT(--('Week 4 Schedule'!$G$2:$G$500=$E$28),--('Week 4 Schedule'!$I$2:$I$500=$A31),--('Week 4 Schedule'!$J$2:$J$500&gt;'Week 4 Schedule'!$H$2:$H$500)))+(SUMPRODUCT(--('Week 5 Schedule'!$B$2:$B$500=$A31),--('Week 5 Schedule'!$D$2:$D$500=$E$28),--('Week 5 Schedule'!$C$2:$C$500&gt;'Week 5 Schedule'!$E$2:$E$500))+SUMPRODUCT(--('Week 5 Schedule'!$B$2:$B$500=$E$28),--('Week 5 Schedule'!$D$2:$D$500=$A31),--('Week 5 Schedule'!$E$2:$E$500&gt;'Week 5 Schedule'!$C$2:$C$500)))+(SUMPRODUCT(--('Week 5 Schedule'!$G$2:$G$500=$A31),--('Week 5 Schedule'!$I$2:$I$500=$E$28),--('Week 5 Schedule'!$H$2:$H$500&gt;'Week 5 Schedule'!$J$2:$J$500))+SUMPRODUCT(--('Week 5 Schedule'!$G$2:$G$500=$E$28),--('Week 5 Schedule'!$I$2:$I$500=$A31),--('Week 5 Schedule'!$J$2:$J$500&gt;'Week 5 Schedule'!$H$2:$H$500)))+(SUMPRODUCT(--('Week 6 Schedule'!$B$2:$B$500=$A31),--('Week 6 Schedule'!$D$2:$D$500=$E$28),--('Week 6 Schedule'!$C$2:$C$500&gt;'Week 6 Schedule'!$E$2:$E$500))+SUMPRODUCT(--('Week 6 Schedule'!$B$2:$B$500=$E$28),--('Week 6 Schedule'!$D$2:$D$500=$A31),--('Week 6 Schedule'!$E$2:$E$500&gt;'Week 6 Schedule'!$C$2:$C$500)))+(SUMPRODUCT(--('Week 6 Schedule'!$G$2:$G$500=$A31),--('Week 6 Schedule'!$I$2:$I$500=$E$28),--('Week 6 Schedule'!$H$2:$H$500&gt;'Week 6 Schedule'!$J$2:$J$500))+SUMPRODUCT(--('Week 6 Schedule'!$G$2:$G$500=$E$28),--('Week 6 Schedule'!$I$2:$I$500=$A31),--('Week 6 Schedule'!$J$2:$J$500&gt;'Week 6 Schedule'!$H$2:$H$500)))</f>
        <v>#REF!</v>
      </c>
      <c r="F31" t="str">
        <f>(SUMPRODUCT(--('Week 1 Schedule'!$B$2:$B$500=$A31),--('Week 1 Schedule'!$D$2:$D$500=$F$28),--('Week 1 Schedule'!$C$2:$C$500&gt;'Week 1 Schedule'!$E$2:$E$500))+SUMPRODUCT(--('Week 1 Schedule'!$B$2:$B$500=$F$28),--('Week 1 Schedule'!$D$2:$D$500=$A31),--('Week 1 Schedule'!$E$2:$E$500&gt;'Week 1 Schedule'!$C$2:$C$500)))+(SUMPRODUCT(--('Week 1 Schedule'!$G$2:$G$500=$A31),--('Week 1 Schedule'!$I$2:$I$500=$F$28),--('Week 1 Schedule'!$H$2:$H$500&gt;'Week 1 Schedule'!$J$2:$J$500))+SUMPRODUCT(--('Week 1 Schedule'!$G$2:$G$500=$F$28),--('Week 1 Schedule'!$I$2:$I$500=$A31),--('Week 1 Schedule'!$J$2:$J$500&gt;'Week 1 Schedule'!$H$2:$H$500)))+(SUMPRODUCT(--('Week 2 Schedule'!$B$2:$B$500=$A31),--('Week 2 Schedule'!$D$2:$D$500=$F$28),--('Week 2 Schedule'!$C$2:$C$500&gt;'Week 2 Schedule'!$E$2:$E$500))+SUMPRODUCT(--('Week 2 Schedule'!$B$2:$B$500=$F$28),--('Week 2 Schedule'!$D$2:$D$500=$A31),--('Week 2 Schedule'!$E$2:$E$500&gt;'Week 2 Schedule'!$C$2:$C$500)))+(SUMPRODUCT(--('Week 2 Schedule'!$G$2:$G$500=$A31),--('Week 2 Schedule'!$I$2:$I$500=$F$28),--('Week 2 Schedule'!$H$2:$H$500&gt;'Week 2 Schedule'!$J$2:$J$500))+SUMPRODUCT(--('Week 2 Schedule'!$G$2:$G$500=$F$28),--('Week 2 Schedule'!$I$2:$I$500=$A31),--('Week 2 Schedule'!$J$2:$J$500&gt;'Week 2 Schedule'!$H$2:$H$500)))+(SUMPRODUCT(--('Week 3 Schedule'!$B$2:$B$500=$A31),--('Week 3 Schedule'!$D$2:$D$500=$F$28),--('Week 3 Schedule'!$C$2:$C$500&gt;'Week 3 Schedule'!$E$2:$E$500))+SUMPRODUCT(--('Week 3 Schedule'!$B$2:$B$500=$F$28),--('Week 3 Schedule'!$D$2:$D$500=$A31),--('Week 3 Schedule'!$E$2:$E$500&gt;'Week 3 Schedule'!$C$2:$C$500)))+(SUMPRODUCT(--('Week 3 Schedule'!$G$2:$G$500=$A31),--('Week 3 Schedule'!$I$2:$I$500=$F$28),--('Week 3 Schedule'!$H$2:$H$500&gt;'Week 3 Schedule'!$J$2:$J$500))+SUMPRODUCT(--('Week 3 Schedule'!$G$2:$G$500=$F$28),--('Week 3 Schedule'!$I$2:$I$500=$A31),--('Week 3 Schedule'!$J$2:$J$500&gt;'Week 3 Schedule'!$H$2:$H$500)))+(SUMPRODUCT(--('Week 4 Schedule'!$B$2:$B$500=$A31),--('Week 4 Schedule'!$D$2:$D$500=$F$28),--('Week 4 Schedule'!$C$2:$C$500&gt;'Week 4 Schedule'!$E$2:$E$500))+SUMPRODUCT(--('Week 4 Schedule'!$B$2:$B$500=$F$28),--('Week 4 Schedule'!$D$2:$D$500=$A31),--('Week 4 Schedule'!$E$2:$E$500&gt;'Week 4 Schedule'!$C$2:$C$500)))+(SUMPRODUCT(--('Week 4 Schedule'!$G$2:$G$500=$A31),--('Week 4 Schedule'!$I$2:$I$500=$F$28),--('Week 4 Schedule'!$H$2:$H$500&gt;'Week 4 Schedule'!$J$2:$J$500))+SUMPRODUCT(--('Week 4 Schedule'!$G$2:$G$500=$F$28),--('Week 4 Schedule'!$I$2:$I$500=$A31),--('Week 4 Schedule'!$J$2:$J$500&gt;'Week 4 Schedule'!$H$2:$H$500)))+(SUMPRODUCT(--('Week 5 Schedule'!$B$2:$B$500=$A31),--('Week 5 Schedule'!$D$2:$D$500=$F$28),--('Week 5 Schedule'!$C$2:$C$500&gt;'Week 5 Schedule'!$E$2:$E$500))+SUMPRODUCT(--('Week 5 Schedule'!$B$2:$B$500=$F$28),--('Week 5 Schedule'!$D$2:$D$500=$A31),--('Week 5 Schedule'!$E$2:$E$500&gt;'Week 5 Schedule'!$C$2:$C$500)))+(SUMPRODUCT(--('Week 5 Schedule'!$G$2:$G$500=$A31),--('Week 5 Schedule'!$I$2:$I$500=$F$28),--('Week 5 Schedule'!$H$2:$H$500&gt;'Week 5 Schedule'!$J$2:$J$500))+SUMPRODUCT(--('Week 5 Schedule'!$G$2:$G$500=$F$28),--('Week 5 Schedule'!$I$2:$I$500=$A31),--('Week 5 Schedule'!$J$2:$J$500&gt;'Week 5 Schedule'!$H$2:$H$500)))+(SUMPRODUCT(--('Week 6 Schedule'!$B$2:$B$500=$A31),--('Week 6 Schedule'!$D$2:$D$500=$F$28),--('Week 6 Schedule'!$C$2:$C$500&gt;'Week 6 Schedule'!$E$2:$E$500))+SUMPRODUCT(--('Week 6 Schedule'!$B$2:$B$500=$F$28),--('Week 6 Schedule'!$D$2:$D$500=$A31),--('Week 6 Schedule'!$E$2:$E$500&gt;'Week 6 Schedule'!$C$2:$C$500)))+(SUMPRODUCT(--('Week 6 Schedule'!$G$2:$G$500=$A31),--('Week 6 Schedule'!$I$2:$I$500=$F$28),--('Week 6 Schedule'!$H$2:$H$500&gt;'Week 6 Schedule'!$J$2:$J$500))+SUMPRODUCT(--('Week 6 Schedule'!$G$2:$G$500=$F$28),--('Week 6 Schedule'!$I$2:$I$500=$A31),--('Week 6 Schedule'!$J$2:$J$500&gt;'Week 6 Schedule'!$H$2:$H$500)))</f>
        <v>#REF!</v>
      </c>
      <c r="G31" t="str">
        <f>(SUMPRODUCT(--('Week 1 Schedule'!$B$2:$B$500=$A31),--('Week 1 Schedule'!$D$2:$D$500=$G$28),--('Week 1 Schedule'!$C$2:$C$500&gt;'Week 1 Schedule'!$E$2:$E$500))+SUMPRODUCT(--('Week 1 Schedule'!$B$2:$B$500=$G$28),--('Week 1 Schedule'!$D$2:$D$500=$A31),--('Week 1 Schedule'!$E$2:$E$500&gt;'Week 1 Schedule'!$C$2:$C$500)))+(SUMPRODUCT(--('Week 1 Schedule'!$G$2:$G$500=$A31),--('Week 1 Schedule'!$I$2:$I$500=$G$28),--('Week 1 Schedule'!$H$2:$H$500&gt;'Week 1 Schedule'!$J$2:$J$500))+SUMPRODUCT(--('Week 1 Schedule'!$G$2:$G$500=$G$28),--('Week 1 Schedule'!$I$2:$I$500=$A31),--('Week 1 Schedule'!$J$2:$J$500&gt;'Week 1 Schedule'!$H$2:$H$500)))+(SUMPRODUCT(--('Week 2 Schedule'!$B$2:$B$500=$A31),--('Week 2 Schedule'!$D$2:$D$500=$G$28),--('Week 2 Schedule'!$C$2:$C$500&gt;'Week 2 Schedule'!$E$2:$E$500))+SUMPRODUCT(--('Week 2 Schedule'!$B$2:$B$500=$G$28),--('Week 2 Schedule'!$D$2:$D$500=$A31),--('Week 2 Schedule'!$E$2:$E$500&gt;'Week 2 Schedule'!$C$2:$C$500)))+(SUMPRODUCT(--('Week 2 Schedule'!$G$2:$G$500=$A31),--('Week 2 Schedule'!$I$2:$I$500=$G$28),--('Week 2 Schedule'!$H$2:$H$500&gt;'Week 2 Schedule'!$J$2:$J$500))+SUMPRODUCT(--('Week 2 Schedule'!$G$2:$G$500=$G$28),--('Week 2 Schedule'!$I$2:$I$500=$A31),--('Week 2 Schedule'!$J$2:$J$500&gt;'Week 2 Schedule'!$H$2:$H$500)))+(SUMPRODUCT(--('Week 3 Schedule'!$B$2:$B$500=$A31),--('Week 3 Schedule'!$D$2:$D$500=$G$28),--('Week 3 Schedule'!$C$2:$C$500&gt;'Week 3 Schedule'!$E$2:$E$500))+SUMPRODUCT(--('Week 3 Schedule'!$B$2:$B$500=$G$28),--('Week 3 Schedule'!$D$2:$D$500=$A31),--('Week 3 Schedule'!$E$2:$E$500&gt;'Week 3 Schedule'!$C$2:$C$500)))+(SUMPRODUCT(--('Week 3 Schedule'!$G$2:$G$500=$A31),--('Week 3 Schedule'!$I$2:$I$500=$G$28),--('Week 3 Schedule'!$H$2:$H$500&gt;'Week 3 Schedule'!$J$2:$J$500))+SUMPRODUCT(--('Week 3 Schedule'!$G$2:$G$500=$G$28),--('Week 3 Schedule'!$I$2:$I$500=$A31),--('Week 3 Schedule'!$J$2:$J$500&gt;'Week 3 Schedule'!$H$2:$H$500)))+(SUMPRODUCT(--('Week 4 Schedule'!$B$2:$B$500=$A31),--('Week 4 Schedule'!$D$2:$D$500=$G$28),--('Week 4 Schedule'!$C$2:$C$500&gt;'Week 4 Schedule'!$E$2:$E$500))+SUMPRODUCT(--('Week 4 Schedule'!$B$2:$B$500=$G$28),--('Week 4 Schedule'!$D$2:$D$500=$A31),--('Week 4 Schedule'!$E$2:$E$500&gt;'Week 4 Schedule'!$C$2:$C$500)))+(SUMPRODUCT(--('Week 4 Schedule'!$G$2:$G$500=$A31),--('Week 4 Schedule'!$I$2:$I$500=$G$28),--('Week 4 Schedule'!$H$2:$H$500&gt;'Week 4 Schedule'!$J$2:$J$500))+SUMPRODUCT(--('Week 4 Schedule'!$G$2:$G$500=$G$28),--('Week 4 Schedule'!$I$2:$I$500=$A31),--('Week 4 Schedule'!$J$2:$J$500&gt;'Week 4 Schedule'!$H$2:$H$500)))+(SUMPRODUCT(--('Week 5 Schedule'!$B$2:$B$500=$A31),--('Week 5 Schedule'!$D$2:$D$500=$G$28),--('Week 5 Schedule'!$C$2:$C$500&gt;'Week 5 Schedule'!$E$2:$E$500))+SUMPRODUCT(--('Week 5 Schedule'!$B$2:$B$500=$G$28),--('Week 5 Schedule'!$D$2:$D$500=$A31),--('Week 5 Schedule'!$E$2:$E$500&gt;'Week 5 Schedule'!$C$2:$C$500)))+(SUMPRODUCT(--('Week 5 Schedule'!$G$2:$G$500=$A31),--('Week 5 Schedule'!$I$2:$I$500=$G$28),--('Week 5 Schedule'!$H$2:$H$500&gt;'Week 5 Schedule'!$J$2:$J$500))+SUMPRODUCT(--('Week 5 Schedule'!$G$2:$G$500=$G$28),--('Week 5 Schedule'!$I$2:$I$500=$A31),--('Week 5 Schedule'!$J$2:$J$500&gt;'Week 5 Schedule'!$H$2:$H$500)))+(SUMPRODUCT(--('Week 6 Schedule'!$B$2:$B$500=$A31),--('Week 6 Schedule'!$D$2:$D$500=$G$28),--('Week 6 Schedule'!$C$2:$C$500&gt;'Week 6 Schedule'!$E$2:$E$500))+SUMPRODUCT(--('Week 6 Schedule'!$B$2:$B$500=$G$28),--('Week 6 Schedule'!$D$2:$D$500=$A31),--('Week 6 Schedule'!$E$2:$E$500&gt;'Week 6 Schedule'!$C$2:$C$500)))+(SUMPRODUCT(--('Week 6 Schedule'!$G$2:$G$500=$A31),--('Week 6 Schedule'!$I$2:$I$500=$G$28),--('Week 6 Schedule'!$H$2:$H$500&gt;'Week 6 Schedule'!$J$2:$J$500))+SUMPRODUCT(--('Week 6 Schedule'!$G$2:$G$500=$G$28),--('Week 6 Schedule'!$I$2:$I$500=$A31),--('Week 6 Schedule'!$J$2:$J$500&gt;'Week 6 Schedule'!$H$2:$H$500)))</f>
        <v>#REF!</v>
      </c>
      <c r="H31" t="str">
        <f>(SUMPRODUCT(--('Week 1 Schedule'!$B$2:$B$500=$A31),--('Week 1 Schedule'!$D$2:$D$500=$H$28),--('Week 1 Schedule'!$C$2:$C$500&gt;'Week 1 Schedule'!$E$2:$E$500))+SUMPRODUCT(--('Week 1 Schedule'!$B$2:$B$500=$H$28),--('Week 1 Schedule'!$D$2:$D$500=$A31),--('Week 1 Schedule'!$E$2:$E$500&gt;'Week 1 Schedule'!$C$2:$C$500)))+(SUMPRODUCT(--('Week 1 Schedule'!$G$2:$G$500=$A31),--('Week 1 Schedule'!$I$2:$I$500=$H$28),--('Week 1 Schedule'!$H$2:$H$500&gt;'Week 1 Schedule'!$J$2:$J$500))+SUMPRODUCT(--('Week 1 Schedule'!$G$2:$G$500=$H$28),--('Week 1 Schedule'!$I$2:$I$500=$A31),--('Week 1 Schedule'!$J$2:$J$500&gt;'Week 1 Schedule'!$H$2:$H$500)))+(SUMPRODUCT(--('Week 2 Schedule'!$B$2:$B$500=$A31),--('Week 2 Schedule'!$D$2:$D$500=$H$28),--('Week 2 Schedule'!$C$2:$C$500&gt;'Week 2 Schedule'!$E$2:$E$500))+SUMPRODUCT(--('Week 2 Schedule'!$B$2:$B$500=$H$28),--('Week 2 Schedule'!$D$2:$D$500=$A31),--('Week 2 Schedule'!$E$2:$E$500&gt;'Week 2 Schedule'!$C$2:$C$500)))+(SUMPRODUCT(--('Week 2 Schedule'!$G$2:$G$500=$A31),--('Week 2 Schedule'!$I$2:$I$500=$H$28),--('Week 2 Schedule'!$H$2:$H$500&gt;'Week 2 Schedule'!$J$2:$J$500))+SUMPRODUCT(--('Week 2 Schedule'!$G$2:$G$500=$H$28),--('Week 2 Schedule'!$I$2:$I$500=$A31),--('Week 2 Schedule'!$J$2:$J$500&gt;'Week 2 Schedule'!$H$2:$H$500)))+(SUMPRODUCT(--('Week 3 Schedule'!$B$2:$B$500=$A31),--('Week 3 Schedule'!$D$2:$D$500=$H$28),--('Week 3 Schedule'!$C$2:$C$500&gt;'Week 3 Schedule'!$E$2:$E$500))+SUMPRODUCT(--('Week 3 Schedule'!$B$2:$B$500=$H$28),--('Week 3 Schedule'!$D$2:$D$500=$A31),--('Week 3 Schedule'!$E$2:$E$500&gt;'Week 3 Schedule'!$C$2:$C$500)))+(SUMPRODUCT(--('Week 3 Schedule'!$G$2:$G$500=$A31),--('Week 3 Schedule'!$I$2:$I$500=$H$28),--('Week 3 Schedule'!$H$2:$H$500&gt;'Week 3 Schedule'!$J$2:$J$500))+SUMPRODUCT(--('Week 3 Schedule'!$G$2:$G$500=$H$28),--('Week 3 Schedule'!$I$2:$I$500=$A31),--('Week 3 Schedule'!$J$2:$J$500&gt;'Week 3 Schedule'!$H$2:$H$500)))+(SUMPRODUCT(--('Week 4 Schedule'!$B$2:$B$500=$A31),--('Week 4 Schedule'!$D$2:$D$500=$H$28),--('Week 4 Schedule'!$C$2:$C$500&gt;'Week 4 Schedule'!$E$2:$E$500))+SUMPRODUCT(--('Week 4 Schedule'!$B$2:$B$500=$H$28),--('Week 4 Schedule'!$D$2:$D$500=$A31),--('Week 4 Schedule'!$E$2:$E$500&gt;'Week 4 Schedule'!$C$2:$C$500)))+(SUMPRODUCT(--('Week 4 Schedule'!$G$2:$G$500=$A31),--('Week 4 Schedule'!$I$2:$I$500=$H$28),--('Week 4 Schedule'!$H$2:$H$500&gt;'Week 4 Schedule'!$J$2:$J$500))+SUMPRODUCT(--('Week 4 Schedule'!$G$2:$G$500=$H$28),--('Week 4 Schedule'!$I$2:$I$500=$A31),--('Week 4 Schedule'!$J$2:$J$500&gt;'Week 4 Schedule'!$H$2:$H$500)))+(SUMPRODUCT(--('Week 5 Schedule'!$B$2:$B$500=$A31),--('Week 5 Schedule'!$D$2:$D$500=$H$28),--('Week 5 Schedule'!$C$2:$C$500&gt;'Week 5 Schedule'!$E$2:$E$500))+SUMPRODUCT(--('Week 5 Schedule'!$B$2:$B$500=$H$28),--('Week 5 Schedule'!$D$2:$D$500=$A31),--('Week 5 Schedule'!$E$2:$E$500&gt;'Week 5 Schedule'!$C$2:$C$500)))+(SUMPRODUCT(--('Week 5 Schedule'!$G$2:$G$500=$A31),--('Week 5 Schedule'!$I$2:$I$500=$H$28),--('Week 5 Schedule'!$H$2:$H$500&gt;'Week 5 Schedule'!$J$2:$J$500))+SUMPRODUCT(--('Week 5 Schedule'!$G$2:$G$500=$H$28),--('Week 5 Schedule'!$I$2:$I$500=$A31),--('Week 5 Schedule'!$J$2:$J$500&gt;'Week 5 Schedule'!$H$2:$H$500)))+(SUMPRODUCT(--('Week 6 Schedule'!$B$2:$B$500=$A31),--('Week 6 Schedule'!$D$2:$D$500=$H$28),--('Week 6 Schedule'!$C$2:$C$500&gt;'Week 6 Schedule'!$E$2:$E$500))+SUMPRODUCT(--('Week 6 Schedule'!$B$2:$B$500=$H$28),--('Week 6 Schedule'!$D$2:$D$500=$A31),--('Week 6 Schedule'!$E$2:$E$500&gt;'Week 6 Schedule'!$C$2:$C$500)))+(SUMPRODUCT(--('Week 6 Schedule'!$G$2:$G$500=$A31),--('Week 6 Schedule'!$I$2:$I$500=$H$28),--('Week 6 Schedule'!$H$2:$H$500&gt;'Week 6 Schedule'!$J$2:$J$500))+SUMPRODUCT(--('Week 6 Schedule'!$G$2:$G$500=$H$28),--('Week 6 Schedule'!$I$2:$I$500=$A31),--('Week 6 Schedule'!$J$2:$J$500&gt;'Week 6 Schedule'!$H$2:$H$500)))</f>
        <v>#REF!</v>
      </c>
      <c r="I31" t="str">
        <f>(SUMPRODUCT(--('Week 1 Schedule'!$B$2:$B$500=$A31),--('Week 1 Schedule'!$D$2:$D$500=$I$28),--('Week 1 Schedule'!$C$2:$C$500&gt;'Week 1 Schedule'!$E$2:$E$500))+SUMPRODUCT(--('Week 1 Schedule'!$B$2:$B$500=$I$28),--('Week 1 Schedule'!$D$2:$D$500=$A31),--('Week 1 Schedule'!$E$2:$E$500&gt;'Week 1 Schedule'!$C$2:$C$500)))+(SUMPRODUCT(--('Week 1 Schedule'!$G$2:$G$500=$A31),--('Week 1 Schedule'!$I$2:$I$500=$I$28),--('Week 1 Schedule'!$H$2:$H$500&gt;'Week 1 Schedule'!$J$2:$J$500))+SUMPRODUCT(--('Week 1 Schedule'!$G$2:$G$500=$I$28),--('Week 1 Schedule'!$I$2:$I$500=$A31),--('Week 1 Schedule'!$J$2:$J$500&gt;'Week 1 Schedule'!$H$2:$H$500)))+(SUMPRODUCT(--('Week 2 Schedule'!$B$2:$B$500=$A31),--('Week 2 Schedule'!$D$2:$D$500=$I$28),--('Week 2 Schedule'!$C$2:$C$500&gt;'Week 2 Schedule'!$E$2:$E$500))+SUMPRODUCT(--('Week 2 Schedule'!$B$2:$B$500=$I$28),--('Week 2 Schedule'!$D$2:$D$500=$A31),--('Week 2 Schedule'!$E$2:$E$500&gt;'Week 2 Schedule'!$C$2:$C$500)))+(SUMPRODUCT(--('Week 2 Schedule'!$G$2:$G$500=$A31),--('Week 2 Schedule'!$I$2:$I$500=$I$28),--('Week 2 Schedule'!$H$2:$H$500&gt;'Week 2 Schedule'!$J$2:$J$500))+SUMPRODUCT(--('Week 2 Schedule'!$G$2:$G$500=$I$28),--('Week 2 Schedule'!$I$2:$I$500=$A31),--('Week 2 Schedule'!$J$2:$J$500&gt;'Week 2 Schedule'!$H$2:$H$500)))+(SUMPRODUCT(--('Week 3 Schedule'!$B$2:$B$500=$A31),--('Week 3 Schedule'!$D$2:$D$500=$I$28),--('Week 3 Schedule'!$C$2:$C$500&gt;'Week 3 Schedule'!$E$2:$E$500))+SUMPRODUCT(--('Week 3 Schedule'!$B$2:$B$500=$I$28),--('Week 3 Schedule'!$D$2:$D$500=$A31),--('Week 3 Schedule'!$E$2:$E$500&gt;'Week 3 Schedule'!$C$2:$C$500)))+(SUMPRODUCT(--('Week 3 Schedule'!$G$2:$G$500=$A31),--('Week 3 Schedule'!$I$2:$I$500=$I$28),--('Week 3 Schedule'!$H$2:$H$500&gt;'Week 3 Schedule'!$J$2:$J$500))+SUMPRODUCT(--('Week 3 Schedule'!$G$2:$G$500=$I$28),--('Week 3 Schedule'!$I$2:$I$500=$A31),--('Week 3 Schedule'!$J$2:$J$500&gt;'Week 3 Schedule'!$H$2:$H$500)))+(SUMPRODUCT(--('Week 4 Schedule'!$B$2:$B$500=$A31),--('Week 4 Schedule'!$D$2:$D$500=$I$28),--('Week 4 Schedule'!$C$2:$C$500&gt;'Week 4 Schedule'!$E$2:$E$500))+SUMPRODUCT(--('Week 4 Schedule'!$B$2:$B$500=$I$28),--('Week 4 Schedule'!$D$2:$D$500=$A31),--('Week 4 Schedule'!$E$2:$E$500&gt;'Week 4 Schedule'!$C$2:$C$500)))+(SUMPRODUCT(--('Week 4 Schedule'!$G$2:$G$500=$A31),--('Week 4 Schedule'!$I$2:$I$500=$I$28),--('Week 4 Schedule'!$H$2:$H$500&gt;'Week 4 Schedule'!$J$2:$J$500))+SUMPRODUCT(--('Week 4 Schedule'!$G$2:$G$500=$I$28),--('Week 4 Schedule'!$I$2:$I$500=$A31),--('Week 4 Schedule'!$J$2:$J$500&gt;'Week 4 Schedule'!$H$2:$H$500)))+(SUMPRODUCT(--('Week 5 Schedule'!$B$2:$B$500=$A31),--('Week 5 Schedule'!$D$2:$D$500=$I$28),--('Week 5 Schedule'!$C$2:$C$500&gt;'Week 5 Schedule'!$E$2:$E$500))+SUMPRODUCT(--('Week 5 Schedule'!$B$2:$B$500=$I$28),--('Week 5 Schedule'!$D$2:$D$500=$A31),--('Week 5 Schedule'!$E$2:$E$500&gt;'Week 5 Schedule'!$C$2:$C$500)))+(SUMPRODUCT(--('Week 5 Schedule'!$G$2:$G$500=$A31),--('Week 5 Schedule'!$I$2:$I$500=$I$28),--('Week 5 Schedule'!$H$2:$H$500&gt;'Week 5 Schedule'!$J$2:$J$500))+SUMPRODUCT(--('Week 5 Schedule'!$G$2:$G$500=$I$28),--('Week 5 Schedule'!$I$2:$I$500=$A31),--('Week 5 Schedule'!$J$2:$J$500&gt;'Week 5 Schedule'!$H$2:$H$500)))+(SUMPRODUCT(--('Week 6 Schedule'!$B$2:$B$500=$A31),--('Week 6 Schedule'!$D$2:$D$500=$I$28),--('Week 6 Schedule'!$C$2:$C$500&gt;'Week 6 Schedule'!$E$2:$E$500))+SUMPRODUCT(--('Week 6 Schedule'!$B$2:$B$500=$I$28),--('Week 6 Schedule'!$D$2:$D$500=$A31),--('Week 6 Schedule'!$E$2:$E$500&gt;'Week 6 Schedule'!$C$2:$C$500)))+(SUMPRODUCT(--('Week 6 Schedule'!$G$2:$G$500=$A31),--('Week 6 Schedule'!$I$2:$I$500=$I$28),--('Week 6 Schedule'!$H$2:$H$500&gt;'Week 6 Schedule'!$J$2:$J$500))+SUMPRODUCT(--('Week 6 Schedule'!$G$2:$G$500=$I$28),--('Week 6 Schedule'!$I$2:$I$500=$A31),--('Week 6 Schedule'!$J$2:$J$500&gt;'Week 6 Schedule'!$H$2:$H$500)))</f>
        <v>#REF!</v>
      </c>
    </row>
    <row r="32">
      <c r="A32" t="str">
        <v>Boston T Party</v>
      </c>
      <c r="B32" t="str">
        <f>(SUMPRODUCT(--('Week 1 Schedule'!$B$2:$B$500=$A32),--('Week 1 Schedule'!$D$2:$D$500=$B$28),--('Week 1 Schedule'!$C$2:$C$500&gt;'Week 1 Schedule'!$E$2:$E$500))+SUMPRODUCT(--('Week 1 Schedule'!$B$2:$B$500=$B$28),--('Week 1 Schedule'!$D$2:$D$500=$A32),--('Week 1 Schedule'!$E$2:$E$500&gt;'Week 1 Schedule'!$C$2:$C$500)))+(SUMPRODUCT(--('Week 1 Schedule'!$G$2:$G$500=$A32),--('Week 1 Schedule'!$I$2:$I$500=$B$28),--('Week 1 Schedule'!$H$2:$H$500&gt;'Week 1 Schedule'!$J$2:$J$500))+SUMPRODUCT(--('Week 1 Schedule'!$G$2:$G$500=$B$28),--('Week 1 Schedule'!$I$2:$I$500=$A32),--('Week 1 Schedule'!$J$2:$J$500&gt;'Week 1 Schedule'!$H$2:$H$500)))+(SUMPRODUCT(--('Week 2 Schedule'!$B$2:$B$500=$A32),--('Week 2 Schedule'!$D$2:$D$500=$B$28),--('Week 2 Schedule'!$C$2:$C$500&gt;'Week 2 Schedule'!$E$2:$E$500))+SUMPRODUCT(--('Week 2 Schedule'!$B$2:$B$500=$B$28),--('Week 2 Schedule'!$D$2:$D$500=$A32),--('Week 2 Schedule'!$E$2:$E$500&gt;'Week 2 Schedule'!$C$2:$C$500)))+(SUMPRODUCT(--('Week 2 Schedule'!$G$2:$G$500=$A32),--('Week 2 Schedule'!$I$2:$I$500=$B$28),--('Week 2 Schedule'!$H$2:$H$500&gt;'Week 2 Schedule'!$J$2:$J$500))+SUMPRODUCT(--('Week 2 Schedule'!$G$2:$G$500=$B$28),--('Week 2 Schedule'!$I$2:$I$500=$A32),--('Week 2 Schedule'!$J$2:$J$500&gt;'Week 2 Schedule'!$H$2:$H$500)))+(SUMPRODUCT(--('Week 3 Schedule'!$B$2:$B$500=$A32),--('Week 3 Schedule'!$D$2:$D$500=$B$28),--('Week 3 Schedule'!$C$2:$C$500&gt;'Week 3 Schedule'!$E$2:$E$500))+SUMPRODUCT(--('Week 3 Schedule'!$B$2:$B$500=$B$28),--('Week 3 Schedule'!$D$2:$D$500=$A32),--('Week 3 Schedule'!$E$2:$E$500&gt;'Week 3 Schedule'!$C$2:$C$500)))+(SUMPRODUCT(--('Week 3 Schedule'!$G$2:$G$500=$A32),--('Week 3 Schedule'!$I$2:$I$500=$B$28),--('Week 3 Schedule'!$H$2:$H$500&gt;'Week 3 Schedule'!$J$2:$J$500))+SUMPRODUCT(--('Week 3 Schedule'!$G$2:$G$500=$B$28),--('Week 3 Schedule'!$I$2:$I$500=$A32),--('Week 3 Schedule'!$J$2:$J$500&gt;'Week 3 Schedule'!$H$2:$H$500)))+(SUMPRODUCT(--('Week 4 Schedule'!$B$2:$B$500=$A32),--('Week 4 Schedule'!$D$2:$D$500=$B$28),--('Week 4 Schedule'!$C$2:$C$500&gt;'Week 4 Schedule'!$E$2:$E$500))+SUMPRODUCT(--('Week 4 Schedule'!$B$2:$B$500=$B$28),--('Week 4 Schedule'!$D$2:$D$500=$A32),--('Week 4 Schedule'!$E$2:$E$500&gt;'Week 4 Schedule'!$C$2:$C$500)))+(SUMPRODUCT(--('Week 4 Schedule'!$G$2:$G$500=$A32),--('Week 4 Schedule'!$I$2:$I$500=$B$28),--('Week 4 Schedule'!$H$2:$H$500&gt;'Week 4 Schedule'!$J$2:$J$500))+SUMPRODUCT(--('Week 4 Schedule'!$G$2:$G$500=$B$28),--('Week 4 Schedule'!$I$2:$I$500=$A32),--('Week 4 Schedule'!$J$2:$J$500&gt;'Week 4 Schedule'!$H$2:$H$500)))+(SUMPRODUCT(--('Week 5 Schedule'!$B$2:$B$500=$A32),--('Week 5 Schedule'!$D$2:$D$500=$B$28),--('Week 5 Schedule'!$C$2:$C$500&gt;'Week 5 Schedule'!$E$2:$E$500))+SUMPRODUCT(--('Week 5 Schedule'!$B$2:$B$500=$B$28),--('Week 5 Schedule'!$D$2:$D$500=$A32),--('Week 5 Schedule'!$E$2:$E$500&gt;'Week 5 Schedule'!$C$2:$C$500)))+(SUMPRODUCT(--('Week 5 Schedule'!$G$2:$G$500=$A32),--('Week 5 Schedule'!$I$2:$I$500=$B$28),--('Week 5 Schedule'!$H$2:$H$500&gt;'Week 5 Schedule'!$J$2:$J$500))+SUMPRODUCT(--('Week 5 Schedule'!$G$2:$G$500=$B$28),--('Week 5 Schedule'!$I$2:$I$500=$A32),--('Week 5 Schedule'!$J$2:$J$500&gt;'Week 5 Schedule'!$H$2:$H$500)))+(SUMPRODUCT(--('Week 6 Schedule'!$B$2:$B$500=$A32),--('Week 6 Schedule'!$D$2:$D$500=$B$28),--('Week 6 Schedule'!$C$2:$C$500&gt;'Week 6 Schedule'!$E$2:$E$500))+SUMPRODUCT(--('Week 6 Schedule'!$B$2:$B$500=$B$28),--('Week 6 Schedule'!$D$2:$D$500=$A32),--('Week 6 Schedule'!$E$2:$E$500&gt;'Week 6 Schedule'!$C$2:$C$500)))+(SUMPRODUCT(--('Week 6 Schedule'!$G$2:$G$500=$A32),--('Week 6 Schedule'!$I$2:$I$500=$B$28),--('Week 6 Schedule'!$H$2:$H$500&gt;'Week 6 Schedule'!$J$2:$J$500))+SUMPRODUCT(--('Week 6 Schedule'!$G$2:$G$500=$B$28),--('Week 6 Schedule'!$I$2:$I$500=$A32),--('Week 6 Schedule'!$J$2:$J$500&gt;'Week 6 Schedule'!$H$2:$H$500)))</f>
        <v>#REF!</v>
      </c>
      <c r="C32" t="str">
        <f>(SUMPRODUCT(--('Week 1 Schedule'!$B$2:$B$500=$A32),--('Week 1 Schedule'!$D$2:$D$500=$C$28),--('Week 1 Schedule'!$C$2:$C$500&gt;'Week 1 Schedule'!$E$2:$E$500))+SUMPRODUCT(--('Week 1 Schedule'!$B$2:$B$500=$C$28),--('Week 1 Schedule'!$D$2:$D$500=$A32),--('Week 1 Schedule'!$E$2:$E$500&gt;'Week 1 Schedule'!$C$2:$C$500)))+(SUMPRODUCT(--('Week 1 Schedule'!$G$2:$G$500=$A32),--('Week 1 Schedule'!$I$2:$I$500=$C$28),--('Week 1 Schedule'!$H$2:$H$500&gt;'Week 1 Schedule'!$J$2:$J$500))+SUMPRODUCT(--('Week 1 Schedule'!$G$2:$G$500=$C$28),--('Week 1 Schedule'!$I$2:$I$500=$A32),--('Week 1 Schedule'!$J$2:$J$500&gt;'Week 1 Schedule'!$H$2:$H$500)))+(SUMPRODUCT(--('Week 2 Schedule'!$B$2:$B$500=$A32),--('Week 2 Schedule'!$D$2:$D$500=$C$28),--('Week 2 Schedule'!$C$2:$C$500&gt;'Week 2 Schedule'!$E$2:$E$500))+SUMPRODUCT(--('Week 2 Schedule'!$B$2:$B$500=$C$28),--('Week 2 Schedule'!$D$2:$D$500=$A32),--('Week 2 Schedule'!$E$2:$E$500&gt;'Week 2 Schedule'!$C$2:$C$500)))+(SUMPRODUCT(--('Week 2 Schedule'!$G$2:$G$500=$A32),--('Week 2 Schedule'!$I$2:$I$500=$C$28),--('Week 2 Schedule'!$H$2:$H$500&gt;'Week 2 Schedule'!$J$2:$J$500))+SUMPRODUCT(--('Week 2 Schedule'!$G$2:$G$500=$C$28),--('Week 2 Schedule'!$I$2:$I$500=$A32),--('Week 2 Schedule'!$J$2:$J$500&gt;'Week 2 Schedule'!$H$2:$H$500)))+(SUMPRODUCT(--('Week 3 Schedule'!$B$2:$B$500=$A32),--('Week 3 Schedule'!$D$2:$D$500=$C$28),--('Week 3 Schedule'!$C$2:$C$500&gt;'Week 3 Schedule'!$E$2:$E$500))+SUMPRODUCT(--('Week 3 Schedule'!$B$2:$B$500=$C$28),--('Week 3 Schedule'!$D$2:$D$500=$A32),--('Week 3 Schedule'!$E$2:$E$500&gt;'Week 3 Schedule'!$C$2:$C$500)))+(SUMPRODUCT(--('Week 3 Schedule'!$G$2:$G$500=$A32),--('Week 3 Schedule'!$I$2:$I$500=$C$28),--('Week 3 Schedule'!$H$2:$H$500&gt;'Week 3 Schedule'!$J$2:$J$500))+SUMPRODUCT(--('Week 3 Schedule'!$G$2:$G$500=$C$28),--('Week 3 Schedule'!$I$2:$I$500=$A32),--('Week 3 Schedule'!$J$2:$J$500&gt;'Week 3 Schedule'!$H$2:$H$500)))+(SUMPRODUCT(--('Week 4 Schedule'!$B$2:$B$500=$A32),--('Week 4 Schedule'!$D$2:$D$500=$C$28),--('Week 4 Schedule'!$C$2:$C$500&gt;'Week 4 Schedule'!$E$2:$E$500))+SUMPRODUCT(--('Week 4 Schedule'!$B$2:$B$500=$C$28),--('Week 4 Schedule'!$D$2:$D$500=$A32),--('Week 4 Schedule'!$E$2:$E$500&gt;'Week 4 Schedule'!$C$2:$C$500)))+(SUMPRODUCT(--('Week 4 Schedule'!$G$2:$G$500=$A32),--('Week 4 Schedule'!$I$2:$I$500=$C$28),--('Week 4 Schedule'!$H$2:$H$500&gt;'Week 4 Schedule'!$J$2:$J$500))+SUMPRODUCT(--('Week 4 Schedule'!$G$2:$G$500=$C$28),--('Week 4 Schedule'!$I$2:$I$500=$A32),--('Week 4 Schedule'!$J$2:$J$500&gt;'Week 4 Schedule'!$H$2:$H$500)))+(SUMPRODUCT(--('Week 5 Schedule'!$B$2:$B$500=$A32),--('Week 5 Schedule'!$D$2:$D$500=$C$28),--('Week 5 Schedule'!$C$2:$C$500&gt;'Week 5 Schedule'!$E$2:$E$500))+SUMPRODUCT(--('Week 5 Schedule'!$B$2:$B$500=$C$28),--('Week 5 Schedule'!$D$2:$D$500=$A32),--('Week 5 Schedule'!$E$2:$E$500&gt;'Week 5 Schedule'!$C$2:$C$500)))+(SUMPRODUCT(--('Week 5 Schedule'!$G$2:$G$500=$A32),--('Week 5 Schedule'!$I$2:$I$500=$C$28),--('Week 5 Schedule'!$H$2:$H$500&gt;'Week 5 Schedule'!$J$2:$J$500))+SUMPRODUCT(--('Week 5 Schedule'!$G$2:$G$500=$C$28),--('Week 5 Schedule'!$I$2:$I$500=$A32),--('Week 5 Schedule'!$J$2:$J$500&gt;'Week 5 Schedule'!$H$2:$H$500)))+(SUMPRODUCT(--('Week 6 Schedule'!$B$2:$B$500=$A32),--('Week 6 Schedule'!$D$2:$D$500=$C$28),--('Week 6 Schedule'!$C$2:$C$500&gt;'Week 6 Schedule'!$E$2:$E$500))+SUMPRODUCT(--('Week 6 Schedule'!$B$2:$B$500=$C$28),--('Week 6 Schedule'!$D$2:$D$500=$A32),--('Week 6 Schedule'!$E$2:$E$500&gt;'Week 6 Schedule'!$C$2:$C$500)))+(SUMPRODUCT(--('Week 6 Schedule'!$G$2:$G$500=$A32),--('Week 6 Schedule'!$I$2:$I$500=$C$28),--('Week 6 Schedule'!$H$2:$H$500&gt;'Week 6 Schedule'!$J$2:$J$500))+SUMPRODUCT(--('Week 6 Schedule'!$G$2:$G$500=$C$28),--('Week 6 Schedule'!$I$2:$I$500=$A32),--('Week 6 Schedule'!$J$2:$J$500&gt;'Week 6 Schedule'!$H$2:$H$500)))</f>
        <v>#REF!</v>
      </c>
      <c r="D32" t="str">
        <f>(SUMPRODUCT(--('Week 1 Schedule'!$B$2:$B$500=$A32),--('Week 1 Schedule'!$D$2:$D$500=$D$28),--('Week 1 Schedule'!$C$2:$C$500&gt;'Week 1 Schedule'!$E$2:$E$500))+SUMPRODUCT(--('Week 1 Schedule'!$B$2:$B$500=$D$28),--('Week 1 Schedule'!$D$2:$D$500=$A32),--('Week 1 Schedule'!$E$2:$E$500&gt;'Week 1 Schedule'!$C$2:$C$500)))+(SUMPRODUCT(--('Week 1 Schedule'!$G$2:$G$500=$A32),--('Week 1 Schedule'!$I$2:$I$500=$D$28),--('Week 1 Schedule'!$H$2:$H$500&gt;'Week 1 Schedule'!$J$2:$J$500))+SUMPRODUCT(--('Week 1 Schedule'!$G$2:$G$500=$D$28),--('Week 1 Schedule'!$I$2:$I$500=$A32),--('Week 1 Schedule'!$J$2:$J$500&gt;'Week 1 Schedule'!$H$2:$H$500)))+(SUMPRODUCT(--('Week 2 Schedule'!$B$2:$B$500=$A32),--('Week 2 Schedule'!$D$2:$D$500=$D$28),--('Week 2 Schedule'!$C$2:$C$500&gt;'Week 2 Schedule'!$E$2:$E$500))+SUMPRODUCT(--('Week 2 Schedule'!$B$2:$B$500=$D$28),--('Week 2 Schedule'!$D$2:$D$500=$A32),--('Week 2 Schedule'!$E$2:$E$500&gt;'Week 2 Schedule'!$C$2:$C$500)))+(SUMPRODUCT(--('Week 2 Schedule'!$G$2:$G$500=$A32),--('Week 2 Schedule'!$I$2:$I$500=$D$28),--('Week 2 Schedule'!$H$2:$H$500&gt;'Week 2 Schedule'!$J$2:$J$500))+SUMPRODUCT(--('Week 2 Schedule'!$G$2:$G$500=$D$28),--('Week 2 Schedule'!$I$2:$I$500=$A32),--('Week 2 Schedule'!$J$2:$J$500&gt;'Week 2 Schedule'!$H$2:$H$500)))+(SUMPRODUCT(--('Week 3 Schedule'!$B$2:$B$500=$A32),--('Week 3 Schedule'!$D$2:$D$500=$D$28),--('Week 3 Schedule'!$C$2:$C$500&gt;'Week 3 Schedule'!$E$2:$E$500))+SUMPRODUCT(--('Week 3 Schedule'!$B$2:$B$500=$D$28),--('Week 3 Schedule'!$D$2:$D$500=$A32),--('Week 3 Schedule'!$E$2:$E$500&gt;'Week 3 Schedule'!$C$2:$C$500)))+(SUMPRODUCT(--('Week 3 Schedule'!$G$2:$G$500=$A32),--('Week 3 Schedule'!$I$2:$I$500=$D$28),--('Week 3 Schedule'!$H$2:$H$500&gt;'Week 3 Schedule'!$J$2:$J$500))+SUMPRODUCT(--('Week 3 Schedule'!$G$2:$G$500=$D$28),--('Week 3 Schedule'!$I$2:$I$500=$A32),--('Week 3 Schedule'!$J$2:$J$500&gt;'Week 3 Schedule'!$H$2:$H$500)))+(SUMPRODUCT(--('Week 4 Schedule'!$B$2:$B$500=$A32),--('Week 4 Schedule'!$D$2:$D$500=$D$28),--('Week 4 Schedule'!$C$2:$C$500&gt;'Week 4 Schedule'!$E$2:$E$500))+SUMPRODUCT(--('Week 4 Schedule'!$B$2:$B$500=$D$28),--('Week 4 Schedule'!$D$2:$D$500=$A32),--('Week 4 Schedule'!$E$2:$E$500&gt;'Week 4 Schedule'!$C$2:$C$500)))+(SUMPRODUCT(--('Week 4 Schedule'!$G$2:$G$500=$A32),--('Week 4 Schedule'!$I$2:$I$500=$D$28),--('Week 4 Schedule'!$H$2:$H$500&gt;'Week 4 Schedule'!$J$2:$J$500))+SUMPRODUCT(--('Week 4 Schedule'!$G$2:$G$500=$D$28),--('Week 4 Schedule'!$I$2:$I$500=$A32),--('Week 4 Schedule'!$J$2:$J$500&gt;'Week 4 Schedule'!$H$2:$H$500)))+(SUMPRODUCT(--('Week 5 Schedule'!$B$2:$B$500=$A32),--('Week 5 Schedule'!$D$2:$D$500=$D$28),--('Week 5 Schedule'!$C$2:$C$500&gt;'Week 5 Schedule'!$E$2:$E$500))+SUMPRODUCT(--('Week 5 Schedule'!$B$2:$B$500=$D$28),--('Week 5 Schedule'!$D$2:$D$500=$A32),--('Week 5 Schedule'!$E$2:$E$500&gt;'Week 5 Schedule'!$C$2:$C$500)))+(SUMPRODUCT(--('Week 5 Schedule'!$G$2:$G$500=$A32),--('Week 5 Schedule'!$I$2:$I$500=$D$28),--('Week 5 Schedule'!$H$2:$H$500&gt;'Week 5 Schedule'!$J$2:$J$500))+SUMPRODUCT(--('Week 5 Schedule'!$G$2:$G$500=$D$28),--('Week 5 Schedule'!$I$2:$I$500=$A32),--('Week 5 Schedule'!$J$2:$J$500&gt;'Week 5 Schedule'!$H$2:$H$500)))+(SUMPRODUCT(--('Week 6 Schedule'!$B$2:$B$500=$A32),--('Week 6 Schedule'!$D$2:$D$500=$D$28),--('Week 6 Schedule'!$C$2:$C$500&gt;'Week 6 Schedule'!$E$2:$E$500))+SUMPRODUCT(--('Week 6 Schedule'!$B$2:$B$500=$D$28),--('Week 6 Schedule'!$D$2:$D$500=$A32),--('Week 6 Schedule'!$E$2:$E$500&gt;'Week 6 Schedule'!$C$2:$C$500)))+(SUMPRODUCT(--('Week 6 Schedule'!$G$2:$G$500=$A32),--('Week 6 Schedule'!$I$2:$I$500=$D$28),--('Week 6 Schedule'!$H$2:$H$500&gt;'Week 6 Schedule'!$J$2:$J$500))+SUMPRODUCT(--('Week 6 Schedule'!$G$2:$G$500=$D$28),--('Week 6 Schedule'!$I$2:$I$500=$A32),--('Week 6 Schedule'!$J$2:$J$500&gt;'Week 6 Schedule'!$H$2:$H$500)))</f>
        <v>#REF!</v>
      </c>
      <c r="E32" t="str">
        <v>—</v>
      </c>
      <c r="F32" t="str">
        <f>(SUMPRODUCT(--('Week 1 Schedule'!$B$2:$B$500=$A32),--('Week 1 Schedule'!$D$2:$D$500=$F$28),--('Week 1 Schedule'!$C$2:$C$500&gt;'Week 1 Schedule'!$E$2:$E$500))+SUMPRODUCT(--('Week 1 Schedule'!$B$2:$B$500=$F$28),--('Week 1 Schedule'!$D$2:$D$500=$A32),--('Week 1 Schedule'!$E$2:$E$500&gt;'Week 1 Schedule'!$C$2:$C$500)))+(SUMPRODUCT(--('Week 1 Schedule'!$G$2:$G$500=$A32),--('Week 1 Schedule'!$I$2:$I$500=$F$28),--('Week 1 Schedule'!$H$2:$H$500&gt;'Week 1 Schedule'!$J$2:$J$500))+SUMPRODUCT(--('Week 1 Schedule'!$G$2:$G$500=$F$28),--('Week 1 Schedule'!$I$2:$I$500=$A32),--('Week 1 Schedule'!$J$2:$J$500&gt;'Week 1 Schedule'!$H$2:$H$500)))+(SUMPRODUCT(--('Week 2 Schedule'!$B$2:$B$500=$A32),--('Week 2 Schedule'!$D$2:$D$500=$F$28),--('Week 2 Schedule'!$C$2:$C$500&gt;'Week 2 Schedule'!$E$2:$E$500))+SUMPRODUCT(--('Week 2 Schedule'!$B$2:$B$500=$F$28),--('Week 2 Schedule'!$D$2:$D$500=$A32),--('Week 2 Schedule'!$E$2:$E$500&gt;'Week 2 Schedule'!$C$2:$C$500)))+(SUMPRODUCT(--('Week 2 Schedule'!$G$2:$G$500=$A32),--('Week 2 Schedule'!$I$2:$I$500=$F$28),--('Week 2 Schedule'!$H$2:$H$500&gt;'Week 2 Schedule'!$J$2:$J$500))+SUMPRODUCT(--('Week 2 Schedule'!$G$2:$G$500=$F$28),--('Week 2 Schedule'!$I$2:$I$500=$A32),--('Week 2 Schedule'!$J$2:$J$500&gt;'Week 2 Schedule'!$H$2:$H$500)))+(SUMPRODUCT(--('Week 3 Schedule'!$B$2:$B$500=$A32),--('Week 3 Schedule'!$D$2:$D$500=$F$28),--('Week 3 Schedule'!$C$2:$C$500&gt;'Week 3 Schedule'!$E$2:$E$500))+SUMPRODUCT(--('Week 3 Schedule'!$B$2:$B$500=$F$28),--('Week 3 Schedule'!$D$2:$D$500=$A32),--('Week 3 Schedule'!$E$2:$E$500&gt;'Week 3 Schedule'!$C$2:$C$500)))+(SUMPRODUCT(--('Week 3 Schedule'!$G$2:$G$500=$A32),--('Week 3 Schedule'!$I$2:$I$500=$F$28),--('Week 3 Schedule'!$H$2:$H$500&gt;'Week 3 Schedule'!$J$2:$J$500))+SUMPRODUCT(--('Week 3 Schedule'!$G$2:$G$500=$F$28),--('Week 3 Schedule'!$I$2:$I$500=$A32),--('Week 3 Schedule'!$J$2:$J$500&gt;'Week 3 Schedule'!$H$2:$H$500)))+(SUMPRODUCT(--('Week 4 Schedule'!$B$2:$B$500=$A32),--('Week 4 Schedule'!$D$2:$D$500=$F$28),--('Week 4 Schedule'!$C$2:$C$500&gt;'Week 4 Schedule'!$E$2:$E$500))+SUMPRODUCT(--('Week 4 Schedule'!$B$2:$B$500=$F$28),--('Week 4 Schedule'!$D$2:$D$500=$A32),--('Week 4 Schedule'!$E$2:$E$500&gt;'Week 4 Schedule'!$C$2:$C$500)))+(SUMPRODUCT(--('Week 4 Schedule'!$G$2:$G$500=$A32),--('Week 4 Schedule'!$I$2:$I$500=$F$28),--('Week 4 Schedule'!$H$2:$H$500&gt;'Week 4 Schedule'!$J$2:$J$500))+SUMPRODUCT(--('Week 4 Schedule'!$G$2:$G$500=$F$28),--('Week 4 Schedule'!$I$2:$I$500=$A32),--('Week 4 Schedule'!$J$2:$J$500&gt;'Week 4 Schedule'!$H$2:$H$500)))+(SUMPRODUCT(--('Week 5 Schedule'!$B$2:$B$500=$A32),--('Week 5 Schedule'!$D$2:$D$500=$F$28),--('Week 5 Schedule'!$C$2:$C$500&gt;'Week 5 Schedule'!$E$2:$E$500))+SUMPRODUCT(--('Week 5 Schedule'!$B$2:$B$500=$F$28),--('Week 5 Schedule'!$D$2:$D$500=$A32),--('Week 5 Schedule'!$E$2:$E$500&gt;'Week 5 Schedule'!$C$2:$C$500)))+(SUMPRODUCT(--('Week 5 Schedule'!$G$2:$G$500=$A32),--('Week 5 Schedule'!$I$2:$I$500=$F$28),--('Week 5 Schedule'!$H$2:$H$500&gt;'Week 5 Schedule'!$J$2:$J$500))+SUMPRODUCT(--('Week 5 Schedule'!$G$2:$G$500=$F$28),--('Week 5 Schedule'!$I$2:$I$500=$A32),--('Week 5 Schedule'!$J$2:$J$500&gt;'Week 5 Schedule'!$H$2:$H$500)))+(SUMPRODUCT(--('Week 6 Schedule'!$B$2:$B$500=$A32),--('Week 6 Schedule'!$D$2:$D$500=$F$28),--('Week 6 Schedule'!$C$2:$C$500&gt;'Week 6 Schedule'!$E$2:$E$500))+SUMPRODUCT(--('Week 6 Schedule'!$B$2:$B$500=$F$28),--('Week 6 Schedule'!$D$2:$D$500=$A32),--('Week 6 Schedule'!$E$2:$E$500&gt;'Week 6 Schedule'!$C$2:$C$500)))+(SUMPRODUCT(--('Week 6 Schedule'!$G$2:$G$500=$A32),--('Week 6 Schedule'!$I$2:$I$500=$F$28),--('Week 6 Schedule'!$H$2:$H$500&gt;'Week 6 Schedule'!$J$2:$J$500))+SUMPRODUCT(--('Week 6 Schedule'!$G$2:$G$500=$F$28),--('Week 6 Schedule'!$I$2:$I$500=$A32),--('Week 6 Schedule'!$J$2:$J$500&gt;'Week 6 Schedule'!$H$2:$H$500)))</f>
        <v>#REF!</v>
      </c>
      <c r="G32" t="str">
        <f>(SUMPRODUCT(--('Week 1 Schedule'!$B$2:$B$500=$A32),--('Week 1 Schedule'!$D$2:$D$500=$G$28),--('Week 1 Schedule'!$C$2:$C$500&gt;'Week 1 Schedule'!$E$2:$E$500))+SUMPRODUCT(--('Week 1 Schedule'!$B$2:$B$500=$G$28),--('Week 1 Schedule'!$D$2:$D$500=$A32),--('Week 1 Schedule'!$E$2:$E$500&gt;'Week 1 Schedule'!$C$2:$C$500)))+(SUMPRODUCT(--('Week 1 Schedule'!$G$2:$G$500=$A32),--('Week 1 Schedule'!$I$2:$I$500=$G$28),--('Week 1 Schedule'!$H$2:$H$500&gt;'Week 1 Schedule'!$J$2:$J$500))+SUMPRODUCT(--('Week 1 Schedule'!$G$2:$G$500=$G$28),--('Week 1 Schedule'!$I$2:$I$500=$A32),--('Week 1 Schedule'!$J$2:$J$500&gt;'Week 1 Schedule'!$H$2:$H$500)))+(SUMPRODUCT(--('Week 2 Schedule'!$B$2:$B$500=$A32),--('Week 2 Schedule'!$D$2:$D$500=$G$28),--('Week 2 Schedule'!$C$2:$C$500&gt;'Week 2 Schedule'!$E$2:$E$500))+SUMPRODUCT(--('Week 2 Schedule'!$B$2:$B$500=$G$28),--('Week 2 Schedule'!$D$2:$D$500=$A32),--('Week 2 Schedule'!$E$2:$E$500&gt;'Week 2 Schedule'!$C$2:$C$500)))+(SUMPRODUCT(--('Week 2 Schedule'!$G$2:$G$500=$A32),--('Week 2 Schedule'!$I$2:$I$500=$G$28),--('Week 2 Schedule'!$H$2:$H$500&gt;'Week 2 Schedule'!$J$2:$J$500))+SUMPRODUCT(--('Week 2 Schedule'!$G$2:$G$500=$G$28),--('Week 2 Schedule'!$I$2:$I$500=$A32),--('Week 2 Schedule'!$J$2:$J$500&gt;'Week 2 Schedule'!$H$2:$H$500)))+(SUMPRODUCT(--('Week 3 Schedule'!$B$2:$B$500=$A32),--('Week 3 Schedule'!$D$2:$D$500=$G$28),--('Week 3 Schedule'!$C$2:$C$500&gt;'Week 3 Schedule'!$E$2:$E$500))+SUMPRODUCT(--('Week 3 Schedule'!$B$2:$B$500=$G$28),--('Week 3 Schedule'!$D$2:$D$500=$A32),--('Week 3 Schedule'!$E$2:$E$500&gt;'Week 3 Schedule'!$C$2:$C$500)))+(SUMPRODUCT(--('Week 3 Schedule'!$G$2:$G$500=$A32),--('Week 3 Schedule'!$I$2:$I$500=$G$28),--('Week 3 Schedule'!$H$2:$H$500&gt;'Week 3 Schedule'!$J$2:$J$500))+SUMPRODUCT(--('Week 3 Schedule'!$G$2:$G$500=$G$28),--('Week 3 Schedule'!$I$2:$I$500=$A32),--('Week 3 Schedule'!$J$2:$J$500&gt;'Week 3 Schedule'!$H$2:$H$500)))+(SUMPRODUCT(--('Week 4 Schedule'!$B$2:$B$500=$A32),--('Week 4 Schedule'!$D$2:$D$500=$G$28),--('Week 4 Schedule'!$C$2:$C$500&gt;'Week 4 Schedule'!$E$2:$E$500))+SUMPRODUCT(--('Week 4 Schedule'!$B$2:$B$500=$G$28),--('Week 4 Schedule'!$D$2:$D$500=$A32),--('Week 4 Schedule'!$E$2:$E$500&gt;'Week 4 Schedule'!$C$2:$C$500)))+(SUMPRODUCT(--('Week 4 Schedule'!$G$2:$G$500=$A32),--('Week 4 Schedule'!$I$2:$I$500=$G$28),--('Week 4 Schedule'!$H$2:$H$500&gt;'Week 4 Schedule'!$J$2:$J$500))+SUMPRODUCT(--('Week 4 Schedule'!$G$2:$G$500=$G$28),--('Week 4 Schedule'!$I$2:$I$500=$A32),--('Week 4 Schedule'!$J$2:$J$500&gt;'Week 4 Schedule'!$H$2:$H$500)))+(SUMPRODUCT(--('Week 5 Schedule'!$B$2:$B$500=$A32),--('Week 5 Schedule'!$D$2:$D$500=$G$28),--('Week 5 Schedule'!$C$2:$C$500&gt;'Week 5 Schedule'!$E$2:$E$500))+SUMPRODUCT(--('Week 5 Schedule'!$B$2:$B$500=$G$28),--('Week 5 Schedule'!$D$2:$D$500=$A32),--('Week 5 Schedule'!$E$2:$E$500&gt;'Week 5 Schedule'!$C$2:$C$500)))+(SUMPRODUCT(--('Week 5 Schedule'!$G$2:$G$500=$A32),--('Week 5 Schedule'!$I$2:$I$500=$G$28),--('Week 5 Schedule'!$H$2:$H$500&gt;'Week 5 Schedule'!$J$2:$J$500))+SUMPRODUCT(--('Week 5 Schedule'!$G$2:$G$500=$G$28),--('Week 5 Schedule'!$I$2:$I$500=$A32),--('Week 5 Schedule'!$J$2:$J$500&gt;'Week 5 Schedule'!$H$2:$H$500)))+(SUMPRODUCT(--('Week 6 Schedule'!$B$2:$B$500=$A32),--('Week 6 Schedule'!$D$2:$D$500=$G$28),--('Week 6 Schedule'!$C$2:$C$500&gt;'Week 6 Schedule'!$E$2:$E$500))+SUMPRODUCT(--('Week 6 Schedule'!$B$2:$B$500=$G$28),--('Week 6 Schedule'!$D$2:$D$500=$A32),--('Week 6 Schedule'!$E$2:$E$500&gt;'Week 6 Schedule'!$C$2:$C$500)))+(SUMPRODUCT(--('Week 6 Schedule'!$G$2:$G$500=$A32),--('Week 6 Schedule'!$I$2:$I$500=$G$28),--('Week 6 Schedule'!$H$2:$H$500&gt;'Week 6 Schedule'!$J$2:$J$500))+SUMPRODUCT(--('Week 6 Schedule'!$G$2:$G$500=$G$28),--('Week 6 Schedule'!$I$2:$I$500=$A32),--('Week 6 Schedule'!$J$2:$J$500&gt;'Week 6 Schedule'!$H$2:$H$500)))</f>
        <v>#REF!</v>
      </c>
      <c r="H32" t="str">
        <f>(SUMPRODUCT(--('Week 1 Schedule'!$B$2:$B$500=$A32),--('Week 1 Schedule'!$D$2:$D$500=$H$28),--('Week 1 Schedule'!$C$2:$C$500&gt;'Week 1 Schedule'!$E$2:$E$500))+SUMPRODUCT(--('Week 1 Schedule'!$B$2:$B$500=$H$28),--('Week 1 Schedule'!$D$2:$D$500=$A32),--('Week 1 Schedule'!$E$2:$E$500&gt;'Week 1 Schedule'!$C$2:$C$500)))+(SUMPRODUCT(--('Week 1 Schedule'!$G$2:$G$500=$A32),--('Week 1 Schedule'!$I$2:$I$500=$H$28),--('Week 1 Schedule'!$H$2:$H$500&gt;'Week 1 Schedule'!$J$2:$J$500))+SUMPRODUCT(--('Week 1 Schedule'!$G$2:$G$500=$H$28),--('Week 1 Schedule'!$I$2:$I$500=$A32),--('Week 1 Schedule'!$J$2:$J$500&gt;'Week 1 Schedule'!$H$2:$H$500)))+(SUMPRODUCT(--('Week 2 Schedule'!$B$2:$B$500=$A32),--('Week 2 Schedule'!$D$2:$D$500=$H$28),--('Week 2 Schedule'!$C$2:$C$500&gt;'Week 2 Schedule'!$E$2:$E$500))+SUMPRODUCT(--('Week 2 Schedule'!$B$2:$B$500=$H$28),--('Week 2 Schedule'!$D$2:$D$500=$A32),--('Week 2 Schedule'!$E$2:$E$500&gt;'Week 2 Schedule'!$C$2:$C$500)))+(SUMPRODUCT(--('Week 2 Schedule'!$G$2:$G$500=$A32),--('Week 2 Schedule'!$I$2:$I$500=$H$28),--('Week 2 Schedule'!$H$2:$H$500&gt;'Week 2 Schedule'!$J$2:$J$500))+SUMPRODUCT(--('Week 2 Schedule'!$G$2:$G$500=$H$28),--('Week 2 Schedule'!$I$2:$I$500=$A32),--('Week 2 Schedule'!$J$2:$J$500&gt;'Week 2 Schedule'!$H$2:$H$500)))+(SUMPRODUCT(--('Week 3 Schedule'!$B$2:$B$500=$A32),--('Week 3 Schedule'!$D$2:$D$500=$H$28),--('Week 3 Schedule'!$C$2:$C$500&gt;'Week 3 Schedule'!$E$2:$E$500))+SUMPRODUCT(--('Week 3 Schedule'!$B$2:$B$500=$H$28),--('Week 3 Schedule'!$D$2:$D$500=$A32),--('Week 3 Schedule'!$E$2:$E$500&gt;'Week 3 Schedule'!$C$2:$C$500)))+(SUMPRODUCT(--('Week 3 Schedule'!$G$2:$G$500=$A32),--('Week 3 Schedule'!$I$2:$I$500=$H$28),--('Week 3 Schedule'!$H$2:$H$500&gt;'Week 3 Schedule'!$J$2:$J$500))+SUMPRODUCT(--('Week 3 Schedule'!$G$2:$G$500=$H$28),--('Week 3 Schedule'!$I$2:$I$500=$A32),--('Week 3 Schedule'!$J$2:$J$500&gt;'Week 3 Schedule'!$H$2:$H$500)))+(SUMPRODUCT(--('Week 4 Schedule'!$B$2:$B$500=$A32),--('Week 4 Schedule'!$D$2:$D$500=$H$28),--('Week 4 Schedule'!$C$2:$C$500&gt;'Week 4 Schedule'!$E$2:$E$500))+SUMPRODUCT(--('Week 4 Schedule'!$B$2:$B$500=$H$28),--('Week 4 Schedule'!$D$2:$D$500=$A32),--('Week 4 Schedule'!$E$2:$E$500&gt;'Week 4 Schedule'!$C$2:$C$500)))+(SUMPRODUCT(--('Week 4 Schedule'!$G$2:$G$500=$A32),--('Week 4 Schedule'!$I$2:$I$500=$H$28),--('Week 4 Schedule'!$H$2:$H$500&gt;'Week 4 Schedule'!$J$2:$J$500))+SUMPRODUCT(--('Week 4 Schedule'!$G$2:$G$500=$H$28),--('Week 4 Schedule'!$I$2:$I$500=$A32),--('Week 4 Schedule'!$J$2:$J$500&gt;'Week 4 Schedule'!$H$2:$H$500)))+(SUMPRODUCT(--('Week 5 Schedule'!$B$2:$B$500=$A32),--('Week 5 Schedule'!$D$2:$D$500=$H$28),--('Week 5 Schedule'!$C$2:$C$500&gt;'Week 5 Schedule'!$E$2:$E$500))+SUMPRODUCT(--('Week 5 Schedule'!$B$2:$B$500=$H$28),--('Week 5 Schedule'!$D$2:$D$500=$A32),--('Week 5 Schedule'!$E$2:$E$500&gt;'Week 5 Schedule'!$C$2:$C$500)))+(SUMPRODUCT(--('Week 5 Schedule'!$G$2:$G$500=$A32),--('Week 5 Schedule'!$I$2:$I$500=$H$28),--('Week 5 Schedule'!$H$2:$H$500&gt;'Week 5 Schedule'!$J$2:$J$500))+SUMPRODUCT(--('Week 5 Schedule'!$G$2:$G$500=$H$28),--('Week 5 Schedule'!$I$2:$I$500=$A32),--('Week 5 Schedule'!$J$2:$J$500&gt;'Week 5 Schedule'!$H$2:$H$500)))+(SUMPRODUCT(--('Week 6 Schedule'!$B$2:$B$500=$A32),--('Week 6 Schedule'!$D$2:$D$500=$H$28),--('Week 6 Schedule'!$C$2:$C$500&gt;'Week 6 Schedule'!$E$2:$E$500))+SUMPRODUCT(--('Week 6 Schedule'!$B$2:$B$500=$H$28),--('Week 6 Schedule'!$D$2:$D$500=$A32),--('Week 6 Schedule'!$E$2:$E$500&gt;'Week 6 Schedule'!$C$2:$C$500)))+(SUMPRODUCT(--('Week 6 Schedule'!$G$2:$G$500=$A32),--('Week 6 Schedule'!$I$2:$I$500=$H$28),--('Week 6 Schedule'!$H$2:$H$500&gt;'Week 6 Schedule'!$J$2:$J$500))+SUMPRODUCT(--('Week 6 Schedule'!$G$2:$G$500=$H$28),--('Week 6 Schedule'!$I$2:$I$500=$A32),--('Week 6 Schedule'!$J$2:$J$500&gt;'Week 6 Schedule'!$H$2:$H$500)))</f>
        <v>#REF!</v>
      </c>
      <c r="I32" t="str">
        <f>(SUMPRODUCT(--('Week 1 Schedule'!$B$2:$B$500=$A32),--('Week 1 Schedule'!$D$2:$D$500=$I$28),--('Week 1 Schedule'!$C$2:$C$500&gt;'Week 1 Schedule'!$E$2:$E$500))+SUMPRODUCT(--('Week 1 Schedule'!$B$2:$B$500=$I$28),--('Week 1 Schedule'!$D$2:$D$500=$A32),--('Week 1 Schedule'!$E$2:$E$500&gt;'Week 1 Schedule'!$C$2:$C$500)))+(SUMPRODUCT(--('Week 1 Schedule'!$G$2:$G$500=$A32),--('Week 1 Schedule'!$I$2:$I$500=$I$28),--('Week 1 Schedule'!$H$2:$H$500&gt;'Week 1 Schedule'!$J$2:$J$500))+SUMPRODUCT(--('Week 1 Schedule'!$G$2:$G$500=$I$28),--('Week 1 Schedule'!$I$2:$I$500=$A32),--('Week 1 Schedule'!$J$2:$J$500&gt;'Week 1 Schedule'!$H$2:$H$500)))+(SUMPRODUCT(--('Week 2 Schedule'!$B$2:$B$500=$A32),--('Week 2 Schedule'!$D$2:$D$500=$I$28),--('Week 2 Schedule'!$C$2:$C$500&gt;'Week 2 Schedule'!$E$2:$E$500))+SUMPRODUCT(--('Week 2 Schedule'!$B$2:$B$500=$I$28),--('Week 2 Schedule'!$D$2:$D$500=$A32),--('Week 2 Schedule'!$E$2:$E$500&gt;'Week 2 Schedule'!$C$2:$C$500)))+(SUMPRODUCT(--('Week 2 Schedule'!$G$2:$G$500=$A32),--('Week 2 Schedule'!$I$2:$I$500=$I$28),--('Week 2 Schedule'!$H$2:$H$500&gt;'Week 2 Schedule'!$J$2:$J$500))+SUMPRODUCT(--('Week 2 Schedule'!$G$2:$G$500=$I$28),--('Week 2 Schedule'!$I$2:$I$500=$A32),--('Week 2 Schedule'!$J$2:$J$500&gt;'Week 2 Schedule'!$H$2:$H$500)))+(SUMPRODUCT(--('Week 3 Schedule'!$B$2:$B$500=$A32),--('Week 3 Schedule'!$D$2:$D$500=$I$28),--('Week 3 Schedule'!$C$2:$C$500&gt;'Week 3 Schedule'!$E$2:$E$500))+SUMPRODUCT(--('Week 3 Schedule'!$B$2:$B$500=$I$28),--('Week 3 Schedule'!$D$2:$D$500=$A32),--('Week 3 Schedule'!$E$2:$E$500&gt;'Week 3 Schedule'!$C$2:$C$500)))+(SUMPRODUCT(--('Week 3 Schedule'!$G$2:$G$500=$A32),--('Week 3 Schedule'!$I$2:$I$500=$I$28),--('Week 3 Schedule'!$H$2:$H$500&gt;'Week 3 Schedule'!$J$2:$J$500))+SUMPRODUCT(--('Week 3 Schedule'!$G$2:$G$500=$I$28),--('Week 3 Schedule'!$I$2:$I$500=$A32),--('Week 3 Schedule'!$J$2:$J$500&gt;'Week 3 Schedule'!$H$2:$H$500)))+(SUMPRODUCT(--('Week 4 Schedule'!$B$2:$B$500=$A32),--('Week 4 Schedule'!$D$2:$D$500=$I$28),--('Week 4 Schedule'!$C$2:$C$500&gt;'Week 4 Schedule'!$E$2:$E$500))+SUMPRODUCT(--('Week 4 Schedule'!$B$2:$B$500=$I$28),--('Week 4 Schedule'!$D$2:$D$500=$A32),--('Week 4 Schedule'!$E$2:$E$500&gt;'Week 4 Schedule'!$C$2:$C$500)))+(SUMPRODUCT(--('Week 4 Schedule'!$G$2:$G$500=$A32),--('Week 4 Schedule'!$I$2:$I$500=$I$28),--('Week 4 Schedule'!$H$2:$H$500&gt;'Week 4 Schedule'!$J$2:$J$500))+SUMPRODUCT(--('Week 4 Schedule'!$G$2:$G$500=$I$28),--('Week 4 Schedule'!$I$2:$I$500=$A32),--('Week 4 Schedule'!$J$2:$J$500&gt;'Week 4 Schedule'!$H$2:$H$500)))+(SUMPRODUCT(--('Week 5 Schedule'!$B$2:$B$500=$A32),--('Week 5 Schedule'!$D$2:$D$500=$I$28),--('Week 5 Schedule'!$C$2:$C$500&gt;'Week 5 Schedule'!$E$2:$E$500))+SUMPRODUCT(--('Week 5 Schedule'!$B$2:$B$500=$I$28),--('Week 5 Schedule'!$D$2:$D$500=$A32),--('Week 5 Schedule'!$E$2:$E$500&gt;'Week 5 Schedule'!$C$2:$C$500)))+(SUMPRODUCT(--('Week 5 Schedule'!$G$2:$G$500=$A32),--('Week 5 Schedule'!$I$2:$I$500=$I$28),--('Week 5 Schedule'!$H$2:$H$500&gt;'Week 5 Schedule'!$J$2:$J$500))+SUMPRODUCT(--('Week 5 Schedule'!$G$2:$G$500=$I$28),--('Week 5 Schedule'!$I$2:$I$500=$A32),--('Week 5 Schedule'!$J$2:$J$500&gt;'Week 5 Schedule'!$H$2:$H$500)))+(SUMPRODUCT(--('Week 6 Schedule'!$B$2:$B$500=$A32),--('Week 6 Schedule'!$D$2:$D$500=$I$28),--('Week 6 Schedule'!$C$2:$C$500&gt;'Week 6 Schedule'!$E$2:$E$500))+SUMPRODUCT(--('Week 6 Schedule'!$B$2:$B$500=$I$28),--('Week 6 Schedule'!$D$2:$D$500=$A32),--('Week 6 Schedule'!$E$2:$E$500&gt;'Week 6 Schedule'!$C$2:$C$500)))+(SUMPRODUCT(--('Week 6 Schedule'!$G$2:$G$500=$A32),--('Week 6 Schedule'!$I$2:$I$500=$I$28),--('Week 6 Schedule'!$H$2:$H$500&gt;'Week 6 Schedule'!$J$2:$J$500))+SUMPRODUCT(--('Week 6 Schedule'!$G$2:$G$500=$I$28),--('Week 6 Schedule'!$I$2:$I$500=$A32),--('Week 6 Schedule'!$J$2:$J$500&gt;'Week 6 Schedule'!$H$2:$H$500)))</f>
        <v>#REF!</v>
      </c>
    </row>
    <row r="33">
      <c r="A33" t="str">
        <v>Left Corners</v>
      </c>
      <c r="B33" t="str">
        <f>(SUMPRODUCT(--('Week 1 Schedule'!$B$2:$B$500=$A33),--('Week 1 Schedule'!$D$2:$D$500=$B$28),--('Week 1 Schedule'!$C$2:$C$500&gt;'Week 1 Schedule'!$E$2:$E$500))+SUMPRODUCT(--('Week 1 Schedule'!$B$2:$B$500=$B$28),--('Week 1 Schedule'!$D$2:$D$500=$A33),--('Week 1 Schedule'!$E$2:$E$500&gt;'Week 1 Schedule'!$C$2:$C$500)))+(SUMPRODUCT(--('Week 1 Schedule'!$G$2:$G$500=$A33),--('Week 1 Schedule'!$I$2:$I$500=$B$28),--('Week 1 Schedule'!$H$2:$H$500&gt;'Week 1 Schedule'!$J$2:$J$500))+SUMPRODUCT(--('Week 1 Schedule'!$G$2:$G$500=$B$28),--('Week 1 Schedule'!$I$2:$I$500=$A33),--('Week 1 Schedule'!$J$2:$J$500&gt;'Week 1 Schedule'!$H$2:$H$500)))+(SUMPRODUCT(--('Week 2 Schedule'!$B$2:$B$500=$A33),--('Week 2 Schedule'!$D$2:$D$500=$B$28),--('Week 2 Schedule'!$C$2:$C$500&gt;'Week 2 Schedule'!$E$2:$E$500))+SUMPRODUCT(--('Week 2 Schedule'!$B$2:$B$500=$B$28),--('Week 2 Schedule'!$D$2:$D$500=$A33),--('Week 2 Schedule'!$E$2:$E$500&gt;'Week 2 Schedule'!$C$2:$C$500)))+(SUMPRODUCT(--('Week 2 Schedule'!$G$2:$G$500=$A33),--('Week 2 Schedule'!$I$2:$I$500=$B$28),--('Week 2 Schedule'!$H$2:$H$500&gt;'Week 2 Schedule'!$J$2:$J$500))+SUMPRODUCT(--('Week 2 Schedule'!$G$2:$G$500=$B$28),--('Week 2 Schedule'!$I$2:$I$500=$A33),--('Week 2 Schedule'!$J$2:$J$500&gt;'Week 2 Schedule'!$H$2:$H$500)))+(SUMPRODUCT(--('Week 3 Schedule'!$B$2:$B$500=$A33),--('Week 3 Schedule'!$D$2:$D$500=$B$28),--('Week 3 Schedule'!$C$2:$C$500&gt;'Week 3 Schedule'!$E$2:$E$500))+SUMPRODUCT(--('Week 3 Schedule'!$B$2:$B$500=$B$28),--('Week 3 Schedule'!$D$2:$D$500=$A33),--('Week 3 Schedule'!$E$2:$E$500&gt;'Week 3 Schedule'!$C$2:$C$500)))+(SUMPRODUCT(--('Week 3 Schedule'!$G$2:$G$500=$A33),--('Week 3 Schedule'!$I$2:$I$500=$B$28),--('Week 3 Schedule'!$H$2:$H$500&gt;'Week 3 Schedule'!$J$2:$J$500))+SUMPRODUCT(--('Week 3 Schedule'!$G$2:$G$500=$B$28),--('Week 3 Schedule'!$I$2:$I$500=$A33),--('Week 3 Schedule'!$J$2:$J$500&gt;'Week 3 Schedule'!$H$2:$H$500)))+(SUMPRODUCT(--('Week 4 Schedule'!$B$2:$B$500=$A33),--('Week 4 Schedule'!$D$2:$D$500=$B$28),--('Week 4 Schedule'!$C$2:$C$500&gt;'Week 4 Schedule'!$E$2:$E$500))+SUMPRODUCT(--('Week 4 Schedule'!$B$2:$B$500=$B$28),--('Week 4 Schedule'!$D$2:$D$500=$A33),--('Week 4 Schedule'!$E$2:$E$500&gt;'Week 4 Schedule'!$C$2:$C$500)))+(SUMPRODUCT(--('Week 4 Schedule'!$G$2:$G$500=$A33),--('Week 4 Schedule'!$I$2:$I$500=$B$28),--('Week 4 Schedule'!$H$2:$H$500&gt;'Week 4 Schedule'!$J$2:$J$500))+SUMPRODUCT(--('Week 4 Schedule'!$G$2:$G$500=$B$28),--('Week 4 Schedule'!$I$2:$I$500=$A33),--('Week 4 Schedule'!$J$2:$J$500&gt;'Week 4 Schedule'!$H$2:$H$500)))+(SUMPRODUCT(--('Week 5 Schedule'!$B$2:$B$500=$A33),--('Week 5 Schedule'!$D$2:$D$500=$B$28),--('Week 5 Schedule'!$C$2:$C$500&gt;'Week 5 Schedule'!$E$2:$E$500))+SUMPRODUCT(--('Week 5 Schedule'!$B$2:$B$500=$B$28),--('Week 5 Schedule'!$D$2:$D$500=$A33),--('Week 5 Schedule'!$E$2:$E$500&gt;'Week 5 Schedule'!$C$2:$C$500)))+(SUMPRODUCT(--('Week 5 Schedule'!$G$2:$G$500=$A33),--('Week 5 Schedule'!$I$2:$I$500=$B$28),--('Week 5 Schedule'!$H$2:$H$500&gt;'Week 5 Schedule'!$J$2:$J$500))+SUMPRODUCT(--('Week 5 Schedule'!$G$2:$G$500=$B$28),--('Week 5 Schedule'!$I$2:$I$500=$A33),--('Week 5 Schedule'!$J$2:$J$500&gt;'Week 5 Schedule'!$H$2:$H$500)))+(SUMPRODUCT(--('Week 6 Schedule'!$B$2:$B$500=$A33),--('Week 6 Schedule'!$D$2:$D$500=$B$28),--('Week 6 Schedule'!$C$2:$C$500&gt;'Week 6 Schedule'!$E$2:$E$500))+SUMPRODUCT(--('Week 6 Schedule'!$B$2:$B$500=$B$28),--('Week 6 Schedule'!$D$2:$D$500=$A33),--('Week 6 Schedule'!$E$2:$E$500&gt;'Week 6 Schedule'!$C$2:$C$500)))+(SUMPRODUCT(--('Week 6 Schedule'!$G$2:$G$500=$A33),--('Week 6 Schedule'!$I$2:$I$500=$B$28),--('Week 6 Schedule'!$H$2:$H$500&gt;'Week 6 Schedule'!$J$2:$J$500))+SUMPRODUCT(--('Week 6 Schedule'!$G$2:$G$500=$B$28),--('Week 6 Schedule'!$I$2:$I$500=$A33),--('Week 6 Schedule'!$J$2:$J$500&gt;'Week 6 Schedule'!$H$2:$H$500)))</f>
        <v>#REF!</v>
      </c>
      <c r="C33" t="str">
        <f>(SUMPRODUCT(--('Week 1 Schedule'!$B$2:$B$500=$A33),--('Week 1 Schedule'!$D$2:$D$500=$C$28),--('Week 1 Schedule'!$C$2:$C$500&gt;'Week 1 Schedule'!$E$2:$E$500))+SUMPRODUCT(--('Week 1 Schedule'!$B$2:$B$500=$C$28),--('Week 1 Schedule'!$D$2:$D$500=$A33),--('Week 1 Schedule'!$E$2:$E$500&gt;'Week 1 Schedule'!$C$2:$C$500)))+(SUMPRODUCT(--('Week 1 Schedule'!$G$2:$G$500=$A33),--('Week 1 Schedule'!$I$2:$I$500=$C$28),--('Week 1 Schedule'!$H$2:$H$500&gt;'Week 1 Schedule'!$J$2:$J$500))+SUMPRODUCT(--('Week 1 Schedule'!$G$2:$G$500=$C$28),--('Week 1 Schedule'!$I$2:$I$500=$A33),--('Week 1 Schedule'!$J$2:$J$500&gt;'Week 1 Schedule'!$H$2:$H$500)))+(SUMPRODUCT(--('Week 2 Schedule'!$B$2:$B$500=$A33),--('Week 2 Schedule'!$D$2:$D$500=$C$28),--('Week 2 Schedule'!$C$2:$C$500&gt;'Week 2 Schedule'!$E$2:$E$500))+SUMPRODUCT(--('Week 2 Schedule'!$B$2:$B$500=$C$28),--('Week 2 Schedule'!$D$2:$D$500=$A33),--('Week 2 Schedule'!$E$2:$E$500&gt;'Week 2 Schedule'!$C$2:$C$500)))+(SUMPRODUCT(--('Week 2 Schedule'!$G$2:$G$500=$A33),--('Week 2 Schedule'!$I$2:$I$500=$C$28),--('Week 2 Schedule'!$H$2:$H$500&gt;'Week 2 Schedule'!$J$2:$J$500))+SUMPRODUCT(--('Week 2 Schedule'!$G$2:$G$500=$C$28),--('Week 2 Schedule'!$I$2:$I$500=$A33),--('Week 2 Schedule'!$J$2:$J$500&gt;'Week 2 Schedule'!$H$2:$H$500)))+(SUMPRODUCT(--('Week 3 Schedule'!$B$2:$B$500=$A33),--('Week 3 Schedule'!$D$2:$D$500=$C$28),--('Week 3 Schedule'!$C$2:$C$500&gt;'Week 3 Schedule'!$E$2:$E$500))+SUMPRODUCT(--('Week 3 Schedule'!$B$2:$B$500=$C$28),--('Week 3 Schedule'!$D$2:$D$500=$A33),--('Week 3 Schedule'!$E$2:$E$500&gt;'Week 3 Schedule'!$C$2:$C$500)))+(SUMPRODUCT(--('Week 3 Schedule'!$G$2:$G$500=$A33),--('Week 3 Schedule'!$I$2:$I$500=$C$28),--('Week 3 Schedule'!$H$2:$H$500&gt;'Week 3 Schedule'!$J$2:$J$500))+SUMPRODUCT(--('Week 3 Schedule'!$G$2:$G$500=$C$28),--('Week 3 Schedule'!$I$2:$I$500=$A33),--('Week 3 Schedule'!$J$2:$J$500&gt;'Week 3 Schedule'!$H$2:$H$500)))+(SUMPRODUCT(--('Week 4 Schedule'!$B$2:$B$500=$A33),--('Week 4 Schedule'!$D$2:$D$500=$C$28),--('Week 4 Schedule'!$C$2:$C$500&gt;'Week 4 Schedule'!$E$2:$E$500))+SUMPRODUCT(--('Week 4 Schedule'!$B$2:$B$500=$C$28),--('Week 4 Schedule'!$D$2:$D$500=$A33),--('Week 4 Schedule'!$E$2:$E$500&gt;'Week 4 Schedule'!$C$2:$C$500)))+(SUMPRODUCT(--('Week 4 Schedule'!$G$2:$G$500=$A33),--('Week 4 Schedule'!$I$2:$I$500=$C$28),--('Week 4 Schedule'!$H$2:$H$500&gt;'Week 4 Schedule'!$J$2:$J$500))+SUMPRODUCT(--('Week 4 Schedule'!$G$2:$G$500=$C$28),--('Week 4 Schedule'!$I$2:$I$500=$A33),--('Week 4 Schedule'!$J$2:$J$500&gt;'Week 4 Schedule'!$H$2:$H$500)))+(SUMPRODUCT(--('Week 5 Schedule'!$B$2:$B$500=$A33),--('Week 5 Schedule'!$D$2:$D$500=$C$28),--('Week 5 Schedule'!$C$2:$C$500&gt;'Week 5 Schedule'!$E$2:$E$500))+SUMPRODUCT(--('Week 5 Schedule'!$B$2:$B$500=$C$28),--('Week 5 Schedule'!$D$2:$D$500=$A33),--('Week 5 Schedule'!$E$2:$E$500&gt;'Week 5 Schedule'!$C$2:$C$500)))+(SUMPRODUCT(--('Week 5 Schedule'!$G$2:$G$500=$A33),--('Week 5 Schedule'!$I$2:$I$500=$C$28),--('Week 5 Schedule'!$H$2:$H$500&gt;'Week 5 Schedule'!$J$2:$J$500))+SUMPRODUCT(--('Week 5 Schedule'!$G$2:$G$500=$C$28),--('Week 5 Schedule'!$I$2:$I$500=$A33),--('Week 5 Schedule'!$J$2:$J$500&gt;'Week 5 Schedule'!$H$2:$H$500)))+(SUMPRODUCT(--('Week 6 Schedule'!$B$2:$B$500=$A33),--('Week 6 Schedule'!$D$2:$D$500=$C$28),--('Week 6 Schedule'!$C$2:$C$500&gt;'Week 6 Schedule'!$E$2:$E$500))+SUMPRODUCT(--('Week 6 Schedule'!$B$2:$B$500=$C$28),--('Week 6 Schedule'!$D$2:$D$500=$A33),--('Week 6 Schedule'!$E$2:$E$500&gt;'Week 6 Schedule'!$C$2:$C$500)))+(SUMPRODUCT(--('Week 6 Schedule'!$G$2:$G$500=$A33),--('Week 6 Schedule'!$I$2:$I$500=$C$28),--('Week 6 Schedule'!$H$2:$H$500&gt;'Week 6 Schedule'!$J$2:$J$500))+SUMPRODUCT(--('Week 6 Schedule'!$G$2:$G$500=$C$28),--('Week 6 Schedule'!$I$2:$I$500=$A33),--('Week 6 Schedule'!$J$2:$J$500&gt;'Week 6 Schedule'!$H$2:$H$500)))</f>
        <v>#REF!</v>
      </c>
      <c r="D33" t="str">
        <f>(SUMPRODUCT(--('Week 1 Schedule'!$B$2:$B$500=$A33),--('Week 1 Schedule'!$D$2:$D$500=$D$28),--('Week 1 Schedule'!$C$2:$C$500&gt;'Week 1 Schedule'!$E$2:$E$500))+SUMPRODUCT(--('Week 1 Schedule'!$B$2:$B$500=$D$28),--('Week 1 Schedule'!$D$2:$D$500=$A33),--('Week 1 Schedule'!$E$2:$E$500&gt;'Week 1 Schedule'!$C$2:$C$500)))+(SUMPRODUCT(--('Week 1 Schedule'!$G$2:$G$500=$A33),--('Week 1 Schedule'!$I$2:$I$500=$D$28),--('Week 1 Schedule'!$H$2:$H$500&gt;'Week 1 Schedule'!$J$2:$J$500))+SUMPRODUCT(--('Week 1 Schedule'!$G$2:$G$500=$D$28),--('Week 1 Schedule'!$I$2:$I$500=$A33),--('Week 1 Schedule'!$J$2:$J$500&gt;'Week 1 Schedule'!$H$2:$H$500)))+(SUMPRODUCT(--('Week 2 Schedule'!$B$2:$B$500=$A33),--('Week 2 Schedule'!$D$2:$D$500=$D$28),--('Week 2 Schedule'!$C$2:$C$500&gt;'Week 2 Schedule'!$E$2:$E$500))+SUMPRODUCT(--('Week 2 Schedule'!$B$2:$B$500=$D$28),--('Week 2 Schedule'!$D$2:$D$500=$A33),--('Week 2 Schedule'!$E$2:$E$500&gt;'Week 2 Schedule'!$C$2:$C$500)))+(SUMPRODUCT(--('Week 2 Schedule'!$G$2:$G$500=$A33),--('Week 2 Schedule'!$I$2:$I$500=$D$28),--('Week 2 Schedule'!$H$2:$H$500&gt;'Week 2 Schedule'!$J$2:$J$500))+SUMPRODUCT(--('Week 2 Schedule'!$G$2:$G$500=$D$28),--('Week 2 Schedule'!$I$2:$I$500=$A33),--('Week 2 Schedule'!$J$2:$J$500&gt;'Week 2 Schedule'!$H$2:$H$500)))+(SUMPRODUCT(--('Week 3 Schedule'!$B$2:$B$500=$A33),--('Week 3 Schedule'!$D$2:$D$500=$D$28),--('Week 3 Schedule'!$C$2:$C$500&gt;'Week 3 Schedule'!$E$2:$E$500))+SUMPRODUCT(--('Week 3 Schedule'!$B$2:$B$500=$D$28),--('Week 3 Schedule'!$D$2:$D$500=$A33),--('Week 3 Schedule'!$E$2:$E$500&gt;'Week 3 Schedule'!$C$2:$C$500)))+(SUMPRODUCT(--('Week 3 Schedule'!$G$2:$G$500=$A33),--('Week 3 Schedule'!$I$2:$I$500=$D$28),--('Week 3 Schedule'!$H$2:$H$500&gt;'Week 3 Schedule'!$J$2:$J$500))+SUMPRODUCT(--('Week 3 Schedule'!$G$2:$G$500=$D$28),--('Week 3 Schedule'!$I$2:$I$500=$A33),--('Week 3 Schedule'!$J$2:$J$500&gt;'Week 3 Schedule'!$H$2:$H$500)))+(SUMPRODUCT(--('Week 4 Schedule'!$B$2:$B$500=$A33),--('Week 4 Schedule'!$D$2:$D$500=$D$28),--('Week 4 Schedule'!$C$2:$C$500&gt;'Week 4 Schedule'!$E$2:$E$500))+SUMPRODUCT(--('Week 4 Schedule'!$B$2:$B$500=$D$28),--('Week 4 Schedule'!$D$2:$D$500=$A33),--('Week 4 Schedule'!$E$2:$E$500&gt;'Week 4 Schedule'!$C$2:$C$500)))+(SUMPRODUCT(--('Week 4 Schedule'!$G$2:$G$500=$A33),--('Week 4 Schedule'!$I$2:$I$500=$D$28),--('Week 4 Schedule'!$H$2:$H$500&gt;'Week 4 Schedule'!$J$2:$J$500))+SUMPRODUCT(--('Week 4 Schedule'!$G$2:$G$500=$D$28),--('Week 4 Schedule'!$I$2:$I$500=$A33),--('Week 4 Schedule'!$J$2:$J$500&gt;'Week 4 Schedule'!$H$2:$H$500)))+(SUMPRODUCT(--('Week 5 Schedule'!$B$2:$B$500=$A33),--('Week 5 Schedule'!$D$2:$D$500=$D$28),--('Week 5 Schedule'!$C$2:$C$500&gt;'Week 5 Schedule'!$E$2:$E$500))+SUMPRODUCT(--('Week 5 Schedule'!$B$2:$B$500=$D$28),--('Week 5 Schedule'!$D$2:$D$500=$A33),--('Week 5 Schedule'!$E$2:$E$500&gt;'Week 5 Schedule'!$C$2:$C$500)))+(SUMPRODUCT(--('Week 5 Schedule'!$G$2:$G$500=$A33),--('Week 5 Schedule'!$I$2:$I$500=$D$28),--('Week 5 Schedule'!$H$2:$H$500&gt;'Week 5 Schedule'!$J$2:$J$500))+SUMPRODUCT(--('Week 5 Schedule'!$G$2:$G$500=$D$28),--('Week 5 Schedule'!$I$2:$I$500=$A33),--('Week 5 Schedule'!$J$2:$J$500&gt;'Week 5 Schedule'!$H$2:$H$500)))+(SUMPRODUCT(--('Week 6 Schedule'!$B$2:$B$500=$A33),--('Week 6 Schedule'!$D$2:$D$500=$D$28),--('Week 6 Schedule'!$C$2:$C$500&gt;'Week 6 Schedule'!$E$2:$E$500))+SUMPRODUCT(--('Week 6 Schedule'!$B$2:$B$500=$D$28),--('Week 6 Schedule'!$D$2:$D$500=$A33),--('Week 6 Schedule'!$E$2:$E$500&gt;'Week 6 Schedule'!$C$2:$C$500)))+(SUMPRODUCT(--('Week 6 Schedule'!$G$2:$G$500=$A33),--('Week 6 Schedule'!$I$2:$I$500=$D$28),--('Week 6 Schedule'!$H$2:$H$500&gt;'Week 6 Schedule'!$J$2:$J$500))+SUMPRODUCT(--('Week 6 Schedule'!$G$2:$G$500=$D$28),--('Week 6 Schedule'!$I$2:$I$500=$A33),--('Week 6 Schedule'!$J$2:$J$500&gt;'Week 6 Schedule'!$H$2:$H$500)))</f>
        <v>#REF!</v>
      </c>
      <c r="E33" t="str">
        <f>(SUMPRODUCT(--('Week 1 Schedule'!$B$2:$B$500=$A33),--('Week 1 Schedule'!$D$2:$D$500=$E$28),--('Week 1 Schedule'!$C$2:$C$500&gt;'Week 1 Schedule'!$E$2:$E$500))+SUMPRODUCT(--('Week 1 Schedule'!$B$2:$B$500=$E$28),--('Week 1 Schedule'!$D$2:$D$500=$A33),--('Week 1 Schedule'!$E$2:$E$500&gt;'Week 1 Schedule'!$C$2:$C$500)))+(SUMPRODUCT(--('Week 1 Schedule'!$G$2:$G$500=$A33),--('Week 1 Schedule'!$I$2:$I$500=$E$28),--('Week 1 Schedule'!$H$2:$H$500&gt;'Week 1 Schedule'!$J$2:$J$500))+SUMPRODUCT(--('Week 1 Schedule'!$G$2:$G$500=$E$28),--('Week 1 Schedule'!$I$2:$I$500=$A33),--('Week 1 Schedule'!$J$2:$J$500&gt;'Week 1 Schedule'!$H$2:$H$500)))+(SUMPRODUCT(--('Week 2 Schedule'!$B$2:$B$500=$A33),--('Week 2 Schedule'!$D$2:$D$500=$E$28),--('Week 2 Schedule'!$C$2:$C$500&gt;'Week 2 Schedule'!$E$2:$E$500))+SUMPRODUCT(--('Week 2 Schedule'!$B$2:$B$500=$E$28),--('Week 2 Schedule'!$D$2:$D$500=$A33),--('Week 2 Schedule'!$E$2:$E$500&gt;'Week 2 Schedule'!$C$2:$C$500)))+(SUMPRODUCT(--('Week 2 Schedule'!$G$2:$G$500=$A33),--('Week 2 Schedule'!$I$2:$I$500=$E$28),--('Week 2 Schedule'!$H$2:$H$500&gt;'Week 2 Schedule'!$J$2:$J$500))+SUMPRODUCT(--('Week 2 Schedule'!$G$2:$G$500=$E$28),--('Week 2 Schedule'!$I$2:$I$500=$A33),--('Week 2 Schedule'!$J$2:$J$500&gt;'Week 2 Schedule'!$H$2:$H$500)))+(SUMPRODUCT(--('Week 3 Schedule'!$B$2:$B$500=$A33),--('Week 3 Schedule'!$D$2:$D$500=$E$28),--('Week 3 Schedule'!$C$2:$C$500&gt;'Week 3 Schedule'!$E$2:$E$500))+SUMPRODUCT(--('Week 3 Schedule'!$B$2:$B$500=$E$28),--('Week 3 Schedule'!$D$2:$D$500=$A33),--('Week 3 Schedule'!$E$2:$E$500&gt;'Week 3 Schedule'!$C$2:$C$500)))+(SUMPRODUCT(--('Week 3 Schedule'!$G$2:$G$500=$A33),--('Week 3 Schedule'!$I$2:$I$500=$E$28),--('Week 3 Schedule'!$H$2:$H$500&gt;'Week 3 Schedule'!$J$2:$J$500))+SUMPRODUCT(--('Week 3 Schedule'!$G$2:$G$500=$E$28),--('Week 3 Schedule'!$I$2:$I$500=$A33),--('Week 3 Schedule'!$J$2:$J$500&gt;'Week 3 Schedule'!$H$2:$H$500)))+(SUMPRODUCT(--('Week 4 Schedule'!$B$2:$B$500=$A33),--('Week 4 Schedule'!$D$2:$D$500=$E$28),--('Week 4 Schedule'!$C$2:$C$500&gt;'Week 4 Schedule'!$E$2:$E$500))+SUMPRODUCT(--('Week 4 Schedule'!$B$2:$B$500=$E$28),--('Week 4 Schedule'!$D$2:$D$500=$A33),--('Week 4 Schedule'!$E$2:$E$500&gt;'Week 4 Schedule'!$C$2:$C$500)))+(SUMPRODUCT(--('Week 4 Schedule'!$G$2:$G$500=$A33),--('Week 4 Schedule'!$I$2:$I$500=$E$28),--('Week 4 Schedule'!$H$2:$H$500&gt;'Week 4 Schedule'!$J$2:$J$500))+SUMPRODUCT(--('Week 4 Schedule'!$G$2:$G$500=$E$28),--('Week 4 Schedule'!$I$2:$I$500=$A33),--('Week 4 Schedule'!$J$2:$J$500&gt;'Week 4 Schedule'!$H$2:$H$500)))+(SUMPRODUCT(--('Week 5 Schedule'!$B$2:$B$500=$A33),--('Week 5 Schedule'!$D$2:$D$500=$E$28),--('Week 5 Schedule'!$C$2:$C$500&gt;'Week 5 Schedule'!$E$2:$E$500))+SUMPRODUCT(--('Week 5 Schedule'!$B$2:$B$500=$E$28),--('Week 5 Schedule'!$D$2:$D$500=$A33),--('Week 5 Schedule'!$E$2:$E$500&gt;'Week 5 Schedule'!$C$2:$C$500)))+(SUMPRODUCT(--('Week 5 Schedule'!$G$2:$G$500=$A33),--('Week 5 Schedule'!$I$2:$I$500=$E$28),--('Week 5 Schedule'!$H$2:$H$500&gt;'Week 5 Schedule'!$J$2:$J$500))+SUMPRODUCT(--('Week 5 Schedule'!$G$2:$G$500=$E$28),--('Week 5 Schedule'!$I$2:$I$500=$A33),--('Week 5 Schedule'!$J$2:$J$500&gt;'Week 5 Schedule'!$H$2:$H$500)))+(SUMPRODUCT(--('Week 6 Schedule'!$B$2:$B$500=$A33),--('Week 6 Schedule'!$D$2:$D$500=$E$28),--('Week 6 Schedule'!$C$2:$C$500&gt;'Week 6 Schedule'!$E$2:$E$500))+SUMPRODUCT(--('Week 6 Schedule'!$B$2:$B$500=$E$28),--('Week 6 Schedule'!$D$2:$D$500=$A33),--('Week 6 Schedule'!$E$2:$E$500&gt;'Week 6 Schedule'!$C$2:$C$500)))+(SUMPRODUCT(--('Week 6 Schedule'!$G$2:$G$500=$A33),--('Week 6 Schedule'!$I$2:$I$500=$E$28),--('Week 6 Schedule'!$H$2:$H$500&gt;'Week 6 Schedule'!$J$2:$J$500))+SUMPRODUCT(--('Week 6 Schedule'!$G$2:$G$500=$E$28),--('Week 6 Schedule'!$I$2:$I$500=$A33),--('Week 6 Schedule'!$J$2:$J$500&gt;'Week 6 Schedule'!$H$2:$H$500)))</f>
        <v>#REF!</v>
      </c>
      <c r="F33" t="str">
        <v>—</v>
      </c>
      <c r="G33" t="str">
        <f>(SUMPRODUCT(--('Week 1 Schedule'!$B$2:$B$500=$A33),--('Week 1 Schedule'!$D$2:$D$500=$G$28),--('Week 1 Schedule'!$C$2:$C$500&gt;'Week 1 Schedule'!$E$2:$E$500))+SUMPRODUCT(--('Week 1 Schedule'!$B$2:$B$500=$G$28),--('Week 1 Schedule'!$D$2:$D$500=$A33),--('Week 1 Schedule'!$E$2:$E$500&gt;'Week 1 Schedule'!$C$2:$C$500)))+(SUMPRODUCT(--('Week 1 Schedule'!$G$2:$G$500=$A33),--('Week 1 Schedule'!$I$2:$I$500=$G$28),--('Week 1 Schedule'!$H$2:$H$500&gt;'Week 1 Schedule'!$J$2:$J$500))+SUMPRODUCT(--('Week 1 Schedule'!$G$2:$G$500=$G$28),--('Week 1 Schedule'!$I$2:$I$500=$A33),--('Week 1 Schedule'!$J$2:$J$500&gt;'Week 1 Schedule'!$H$2:$H$500)))+(SUMPRODUCT(--('Week 2 Schedule'!$B$2:$B$500=$A33),--('Week 2 Schedule'!$D$2:$D$500=$G$28),--('Week 2 Schedule'!$C$2:$C$500&gt;'Week 2 Schedule'!$E$2:$E$500))+SUMPRODUCT(--('Week 2 Schedule'!$B$2:$B$500=$G$28),--('Week 2 Schedule'!$D$2:$D$500=$A33),--('Week 2 Schedule'!$E$2:$E$500&gt;'Week 2 Schedule'!$C$2:$C$500)))+(SUMPRODUCT(--('Week 2 Schedule'!$G$2:$G$500=$A33),--('Week 2 Schedule'!$I$2:$I$500=$G$28),--('Week 2 Schedule'!$H$2:$H$500&gt;'Week 2 Schedule'!$J$2:$J$500))+SUMPRODUCT(--('Week 2 Schedule'!$G$2:$G$500=$G$28),--('Week 2 Schedule'!$I$2:$I$500=$A33),--('Week 2 Schedule'!$J$2:$J$500&gt;'Week 2 Schedule'!$H$2:$H$500)))+(SUMPRODUCT(--('Week 3 Schedule'!$B$2:$B$500=$A33),--('Week 3 Schedule'!$D$2:$D$500=$G$28),--('Week 3 Schedule'!$C$2:$C$500&gt;'Week 3 Schedule'!$E$2:$E$500))+SUMPRODUCT(--('Week 3 Schedule'!$B$2:$B$500=$G$28),--('Week 3 Schedule'!$D$2:$D$500=$A33),--('Week 3 Schedule'!$E$2:$E$500&gt;'Week 3 Schedule'!$C$2:$C$500)))+(SUMPRODUCT(--('Week 3 Schedule'!$G$2:$G$500=$A33),--('Week 3 Schedule'!$I$2:$I$500=$G$28),--('Week 3 Schedule'!$H$2:$H$500&gt;'Week 3 Schedule'!$J$2:$J$500))+SUMPRODUCT(--('Week 3 Schedule'!$G$2:$G$500=$G$28),--('Week 3 Schedule'!$I$2:$I$500=$A33),--('Week 3 Schedule'!$J$2:$J$500&gt;'Week 3 Schedule'!$H$2:$H$500)))+(SUMPRODUCT(--('Week 4 Schedule'!$B$2:$B$500=$A33),--('Week 4 Schedule'!$D$2:$D$500=$G$28),--('Week 4 Schedule'!$C$2:$C$500&gt;'Week 4 Schedule'!$E$2:$E$500))+SUMPRODUCT(--('Week 4 Schedule'!$B$2:$B$500=$G$28),--('Week 4 Schedule'!$D$2:$D$500=$A33),--('Week 4 Schedule'!$E$2:$E$500&gt;'Week 4 Schedule'!$C$2:$C$500)))+(SUMPRODUCT(--('Week 4 Schedule'!$G$2:$G$500=$A33),--('Week 4 Schedule'!$I$2:$I$500=$G$28),--('Week 4 Schedule'!$H$2:$H$500&gt;'Week 4 Schedule'!$J$2:$J$500))+SUMPRODUCT(--('Week 4 Schedule'!$G$2:$G$500=$G$28),--('Week 4 Schedule'!$I$2:$I$500=$A33),--('Week 4 Schedule'!$J$2:$J$500&gt;'Week 4 Schedule'!$H$2:$H$500)))+(SUMPRODUCT(--('Week 5 Schedule'!$B$2:$B$500=$A33),--('Week 5 Schedule'!$D$2:$D$500=$G$28),--('Week 5 Schedule'!$C$2:$C$500&gt;'Week 5 Schedule'!$E$2:$E$500))+SUMPRODUCT(--('Week 5 Schedule'!$B$2:$B$500=$G$28),--('Week 5 Schedule'!$D$2:$D$500=$A33),--('Week 5 Schedule'!$E$2:$E$500&gt;'Week 5 Schedule'!$C$2:$C$500)))+(SUMPRODUCT(--('Week 5 Schedule'!$G$2:$G$500=$A33),--('Week 5 Schedule'!$I$2:$I$500=$G$28),--('Week 5 Schedule'!$H$2:$H$500&gt;'Week 5 Schedule'!$J$2:$J$500))+SUMPRODUCT(--('Week 5 Schedule'!$G$2:$G$500=$G$28),--('Week 5 Schedule'!$I$2:$I$500=$A33),--('Week 5 Schedule'!$J$2:$J$500&gt;'Week 5 Schedule'!$H$2:$H$500)))+(SUMPRODUCT(--('Week 6 Schedule'!$B$2:$B$500=$A33),--('Week 6 Schedule'!$D$2:$D$500=$G$28),--('Week 6 Schedule'!$C$2:$C$500&gt;'Week 6 Schedule'!$E$2:$E$500))+SUMPRODUCT(--('Week 6 Schedule'!$B$2:$B$500=$G$28),--('Week 6 Schedule'!$D$2:$D$500=$A33),--('Week 6 Schedule'!$E$2:$E$500&gt;'Week 6 Schedule'!$C$2:$C$500)))+(SUMPRODUCT(--('Week 6 Schedule'!$G$2:$G$500=$A33),--('Week 6 Schedule'!$I$2:$I$500=$G$28),--('Week 6 Schedule'!$H$2:$H$500&gt;'Week 6 Schedule'!$J$2:$J$500))+SUMPRODUCT(--('Week 6 Schedule'!$G$2:$G$500=$G$28),--('Week 6 Schedule'!$I$2:$I$500=$A33),--('Week 6 Schedule'!$J$2:$J$500&gt;'Week 6 Schedule'!$H$2:$H$500)))</f>
        <v>#REF!</v>
      </c>
      <c r="H33" t="str">
        <f>(SUMPRODUCT(--('Week 1 Schedule'!$B$2:$B$500=$A33),--('Week 1 Schedule'!$D$2:$D$500=$H$28),--('Week 1 Schedule'!$C$2:$C$500&gt;'Week 1 Schedule'!$E$2:$E$500))+SUMPRODUCT(--('Week 1 Schedule'!$B$2:$B$500=$H$28),--('Week 1 Schedule'!$D$2:$D$500=$A33),--('Week 1 Schedule'!$E$2:$E$500&gt;'Week 1 Schedule'!$C$2:$C$500)))+(SUMPRODUCT(--('Week 1 Schedule'!$G$2:$G$500=$A33),--('Week 1 Schedule'!$I$2:$I$500=$H$28),--('Week 1 Schedule'!$H$2:$H$500&gt;'Week 1 Schedule'!$J$2:$J$500))+SUMPRODUCT(--('Week 1 Schedule'!$G$2:$G$500=$H$28),--('Week 1 Schedule'!$I$2:$I$500=$A33),--('Week 1 Schedule'!$J$2:$J$500&gt;'Week 1 Schedule'!$H$2:$H$500)))+(SUMPRODUCT(--('Week 2 Schedule'!$B$2:$B$500=$A33),--('Week 2 Schedule'!$D$2:$D$500=$H$28),--('Week 2 Schedule'!$C$2:$C$500&gt;'Week 2 Schedule'!$E$2:$E$500))+SUMPRODUCT(--('Week 2 Schedule'!$B$2:$B$500=$H$28),--('Week 2 Schedule'!$D$2:$D$500=$A33),--('Week 2 Schedule'!$E$2:$E$500&gt;'Week 2 Schedule'!$C$2:$C$500)))+(SUMPRODUCT(--('Week 2 Schedule'!$G$2:$G$500=$A33),--('Week 2 Schedule'!$I$2:$I$500=$H$28),--('Week 2 Schedule'!$H$2:$H$500&gt;'Week 2 Schedule'!$J$2:$J$500))+SUMPRODUCT(--('Week 2 Schedule'!$G$2:$G$500=$H$28),--('Week 2 Schedule'!$I$2:$I$500=$A33),--('Week 2 Schedule'!$J$2:$J$500&gt;'Week 2 Schedule'!$H$2:$H$500)))+(SUMPRODUCT(--('Week 3 Schedule'!$B$2:$B$500=$A33),--('Week 3 Schedule'!$D$2:$D$500=$H$28),--('Week 3 Schedule'!$C$2:$C$500&gt;'Week 3 Schedule'!$E$2:$E$500))+SUMPRODUCT(--('Week 3 Schedule'!$B$2:$B$500=$H$28),--('Week 3 Schedule'!$D$2:$D$500=$A33),--('Week 3 Schedule'!$E$2:$E$500&gt;'Week 3 Schedule'!$C$2:$C$500)))+(SUMPRODUCT(--('Week 3 Schedule'!$G$2:$G$500=$A33),--('Week 3 Schedule'!$I$2:$I$500=$H$28),--('Week 3 Schedule'!$H$2:$H$500&gt;'Week 3 Schedule'!$J$2:$J$500))+SUMPRODUCT(--('Week 3 Schedule'!$G$2:$G$500=$H$28),--('Week 3 Schedule'!$I$2:$I$500=$A33),--('Week 3 Schedule'!$J$2:$J$500&gt;'Week 3 Schedule'!$H$2:$H$500)))+(SUMPRODUCT(--('Week 4 Schedule'!$B$2:$B$500=$A33),--('Week 4 Schedule'!$D$2:$D$500=$H$28),--('Week 4 Schedule'!$C$2:$C$500&gt;'Week 4 Schedule'!$E$2:$E$500))+SUMPRODUCT(--('Week 4 Schedule'!$B$2:$B$500=$H$28),--('Week 4 Schedule'!$D$2:$D$500=$A33),--('Week 4 Schedule'!$E$2:$E$500&gt;'Week 4 Schedule'!$C$2:$C$500)))+(SUMPRODUCT(--('Week 4 Schedule'!$G$2:$G$500=$A33),--('Week 4 Schedule'!$I$2:$I$500=$H$28),--('Week 4 Schedule'!$H$2:$H$500&gt;'Week 4 Schedule'!$J$2:$J$500))+SUMPRODUCT(--('Week 4 Schedule'!$G$2:$G$500=$H$28),--('Week 4 Schedule'!$I$2:$I$500=$A33),--('Week 4 Schedule'!$J$2:$J$500&gt;'Week 4 Schedule'!$H$2:$H$500)))+(SUMPRODUCT(--('Week 5 Schedule'!$B$2:$B$500=$A33),--('Week 5 Schedule'!$D$2:$D$500=$H$28),--('Week 5 Schedule'!$C$2:$C$500&gt;'Week 5 Schedule'!$E$2:$E$500))+SUMPRODUCT(--('Week 5 Schedule'!$B$2:$B$500=$H$28),--('Week 5 Schedule'!$D$2:$D$500=$A33),--('Week 5 Schedule'!$E$2:$E$500&gt;'Week 5 Schedule'!$C$2:$C$500)))+(SUMPRODUCT(--('Week 5 Schedule'!$G$2:$G$500=$A33),--('Week 5 Schedule'!$I$2:$I$500=$H$28),--('Week 5 Schedule'!$H$2:$H$500&gt;'Week 5 Schedule'!$J$2:$J$500))+SUMPRODUCT(--('Week 5 Schedule'!$G$2:$G$500=$H$28),--('Week 5 Schedule'!$I$2:$I$500=$A33),--('Week 5 Schedule'!$J$2:$J$500&gt;'Week 5 Schedule'!$H$2:$H$500)))+(SUMPRODUCT(--('Week 6 Schedule'!$B$2:$B$500=$A33),--('Week 6 Schedule'!$D$2:$D$500=$H$28),--('Week 6 Schedule'!$C$2:$C$500&gt;'Week 6 Schedule'!$E$2:$E$500))+SUMPRODUCT(--('Week 6 Schedule'!$B$2:$B$500=$H$28),--('Week 6 Schedule'!$D$2:$D$500=$A33),--('Week 6 Schedule'!$E$2:$E$500&gt;'Week 6 Schedule'!$C$2:$C$500)))+(SUMPRODUCT(--('Week 6 Schedule'!$G$2:$G$500=$A33),--('Week 6 Schedule'!$I$2:$I$500=$H$28),--('Week 6 Schedule'!$H$2:$H$500&gt;'Week 6 Schedule'!$J$2:$J$500))+SUMPRODUCT(--('Week 6 Schedule'!$G$2:$G$500=$H$28),--('Week 6 Schedule'!$I$2:$I$500=$A33),--('Week 6 Schedule'!$J$2:$J$500&gt;'Week 6 Schedule'!$H$2:$H$500)))</f>
        <v>#REF!</v>
      </c>
      <c r="I33" t="str">
        <f>(SUMPRODUCT(--('Week 1 Schedule'!$B$2:$B$500=$A33),--('Week 1 Schedule'!$D$2:$D$500=$I$28),--('Week 1 Schedule'!$C$2:$C$500&gt;'Week 1 Schedule'!$E$2:$E$500))+SUMPRODUCT(--('Week 1 Schedule'!$B$2:$B$500=$I$28),--('Week 1 Schedule'!$D$2:$D$500=$A33),--('Week 1 Schedule'!$E$2:$E$500&gt;'Week 1 Schedule'!$C$2:$C$500)))+(SUMPRODUCT(--('Week 1 Schedule'!$G$2:$G$500=$A33),--('Week 1 Schedule'!$I$2:$I$500=$I$28),--('Week 1 Schedule'!$H$2:$H$500&gt;'Week 1 Schedule'!$J$2:$J$500))+SUMPRODUCT(--('Week 1 Schedule'!$G$2:$G$500=$I$28),--('Week 1 Schedule'!$I$2:$I$500=$A33),--('Week 1 Schedule'!$J$2:$J$500&gt;'Week 1 Schedule'!$H$2:$H$500)))+(SUMPRODUCT(--('Week 2 Schedule'!$B$2:$B$500=$A33),--('Week 2 Schedule'!$D$2:$D$500=$I$28),--('Week 2 Schedule'!$C$2:$C$500&gt;'Week 2 Schedule'!$E$2:$E$500))+SUMPRODUCT(--('Week 2 Schedule'!$B$2:$B$500=$I$28),--('Week 2 Schedule'!$D$2:$D$500=$A33),--('Week 2 Schedule'!$E$2:$E$500&gt;'Week 2 Schedule'!$C$2:$C$500)))+(SUMPRODUCT(--('Week 2 Schedule'!$G$2:$G$500=$A33),--('Week 2 Schedule'!$I$2:$I$500=$I$28),--('Week 2 Schedule'!$H$2:$H$500&gt;'Week 2 Schedule'!$J$2:$J$500))+SUMPRODUCT(--('Week 2 Schedule'!$G$2:$G$500=$I$28),--('Week 2 Schedule'!$I$2:$I$500=$A33),--('Week 2 Schedule'!$J$2:$J$500&gt;'Week 2 Schedule'!$H$2:$H$500)))+(SUMPRODUCT(--('Week 3 Schedule'!$B$2:$B$500=$A33),--('Week 3 Schedule'!$D$2:$D$500=$I$28),--('Week 3 Schedule'!$C$2:$C$500&gt;'Week 3 Schedule'!$E$2:$E$500))+SUMPRODUCT(--('Week 3 Schedule'!$B$2:$B$500=$I$28),--('Week 3 Schedule'!$D$2:$D$500=$A33),--('Week 3 Schedule'!$E$2:$E$500&gt;'Week 3 Schedule'!$C$2:$C$500)))+(SUMPRODUCT(--('Week 3 Schedule'!$G$2:$G$500=$A33),--('Week 3 Schedule'!$I$2:$I$500=$I$28),--('Week 3 Schedule'!$H$2:$H$500&gt;'Week 3 Schedule'!$J$2:$J$500))+SUMPRODUCT(--('Week 3 Schedule'!$G$2:$G$500=$I$28),--('Week 3 Schedule'!$I$2:$I$500=$A33),--('Week 3 Schedule'!$J$2:$J$500&gt;'Week 3 Schedule'!$H$2:$H$500)))+(SUMPRODUCT(--('Week 4 Schedule'!$B$2:$B$500=$A33),--('Week 4 Schedule'!$D$2:$D$500=$I$28),--('Week 4 Schedule'!$C$2:$C$500&gt;'Week 4 Schedule'!$E$2:$E$500))+SUMPRODUCT(--('Week 4 Schedule'!$B$2:$B$500=$I$28),--('Week 4 Schedule'!$D$2:$D$500=$A33),--('Week 4 Schedule'!$E$2:$E$500&gt;'Week 4 Schedule'!$C$2:$C$500)))+(SUMPRODUCT(--('Week 4 Schedule'!$G$2:$G$500=$A33),--('Week 4 Schedule'!$I$2:$I$500=$I$28),--('Week 4 Schedule'!$H$2:$H$500&gt;'Week 4 Schedule'!$J$2:$J$500))+SUMPRODUCT(--('Week 4 Schedule'!$G$2:$G$500=$I$28),--('Week 4 Schedule'!$I$2:$I$500=$A33),--('Week 4 Schedule'!$J$2:$J$500&gt;'Week 4 Schedule'!$H$2:$H$500)))+(SUMPRODUCT(--('Week 5 Schedule'!$B$2:$B$500=$A33),--('Week 5 Schedule'!$D$2:$D$500=$I$28),--('Week 5 Schedule'!$C$2:$C$500&gt;'Week 5 Schedule'!$E$2:$E$500))+SUMPRODUCT(--('Week 5 Schedule'!$B$2:$B$500=$I$28),--('Week 5 Schedule'!$D$2:$D$500=$A33),--('Week 5 Schedule'!$E$2:$E$500&gt;'Week 5 Schedule'!$C$2:$C$500)))+(SUMPRODUCT(--('Week 5 Schedule'!$G$2:$G$500=$A33),--('Week 5 Schedule'!$I$2:$I$500=$I$28),--('Week 5 Schedule'!$H$2:$H$500&gt;'Week 5 Schedule'!$J$2:$J$500))+SUMPRODUCT(--('Week 5 Schedule'!$G$2:$G$500=$I$28),--('Week 5 Schedule'!$I$2:$I$500=$A33),--('Week 5 Schedule'!$J$2:$J$500&gt;'Week 5 Schedule'!$H$2:$H$500)))+(SUMPRODUCT(--('Week 6 Schedule'!$B$2:$B$500=$A33),--('Week 6 Schedule'!$D$2:$D$500=$I$28),--('Week 6 Schedule'!$C$2:$C$500&gt;'Week 6 Schedule'!$E$2:$E$500))+SUMPRODUCT(--('Week 6 Schedule'!$B$2:$B$500=$I$28),--('Week 6 Schedule'!$D$2:$D$500=$A33),--('Week 6 Schedule'!$E$2:$E$500&gt;'Week 6 Schedule'!$C$2:$C$500)))+(SUMPRODUCT(--('Week 6 Schedule'!$G$2:$G$500=$A33),--('Week 6 Schedule'!$I$2:$I$500=$I$28),--('Week 6 Schedule'!$H$2:$H$500&gt;'Week 6 Schedule'!$J$2:$J$500))+SUMPRODUCT(--('Week 6 Schedule'!$G$2:$G$500=$I$28),--('Week 6 Schedule'!$I$2:$I$500=$A33),--('Week 6 Schedule'!$J$2:$J$500&gt;'Week 6 Schedule'!$H$2:$H$500)))</f>
        <v>#REF!</v>
      </c>
    </row>
    <row r="34">
      <c r="A34" t="str">
        <v>Big Bugs</v>
      </c>
      <c r="B34" t="str">
        <f>(SUMPRODUCT(--('Week 1 Schedule'!$B$2:$B$500=$A34),--('Week 1 Schedule'!$D$2:$D$500=$B$28),--('Week 1 Schedule'!$C$2:$C$500&gt;'Week 1 Schedule'!$E$2:$E$500))+SUMPRODUCT(--('Week 1 Schedule'!$B$2:$B$500=$B$28),--('Week 1 Schedule'!$D$2:$D$500=$A34),--('Week 1 Schedule'!$E$2:$E$500&gt;'Week 1 Schedule'!$C$2:$C$500)))+(SUMPRODUCT(--('Week 1 Schedule'!$G$2:$G$500=$A34),--('Week 1 Schedule'!$I$2:$I$500=$B$28),--('Week 1 Schedule'!$H$2:$H$500&gt;'Week 1 Schedule'!$J$2:$J$500))+SUMPRODUCT(--('Week 1 Schedule'!$G$2:$G$500=$B$28),--('Week 1 Schedule'!$I$2:$I$500=$A34),--('Week 1 Schedule'!$J$2:$J$500&gt;'Week 1 Schedule'!$H$2:$H$500)))+(SUMPRODUCT(--('Week 2 Schedule'!$B$2:$B$500=$A34),--('Week 2 Schedule'!$D$2:$D$500=$B$28),--('Week 2 Schedule'!$C$2:$C$500&gt;'Week 2 Schedule'!$E$2:$E$500))+SUMPRODUCT(--('Week 2 Schedule'!$B$2:$B$500=$B$28),--('Week 2 Schedule'!$D$2:$D$500=$A34),--('Week 2 Schedule'!$E$2:$E$500&gt;'Week 2 Schedule'!$C$2:$C$500)))+(SUMPRODUCT(--('Week 2 Schedule'!$G$2:$G$500=$A34),--('Week 2 Schedule'!$I$2:$I$500=$B$28),--('Week 2 Schedule'!$H$2:$H$500&gt;'Week 2 Schedule'!$J$2:$J$500))+SUMPRODUCT(--('Week 2 Schedule'!$G$2:$G$500=$B$28),--('Week 2 Schedule'!$I$2:$I$500=$A34),--('Week 2 Schedule'!$J$2:$J$500&gt;'Week 2 Schedule'!$H$2:$H$500)))+(SUMPRODUCT(--('Week 3 Schedule'!$B$2:$B$500=$A34),--('Week 3 Schedule'!$D$2:$D$500=$B$28),--('Week 3 Schedule'!$C$2:$C$500&gt;'Week 3 Schedule'!$E$2:$E$500))+SUMPRODUCT(--('Week 3 Schedule'!$B$2:$B$500=$B$28),--('Week 3 Schedule'!$D$2:$D$500=$A34),--('Week 3 Schedule'!$E$2:$E$500&gt;'Week 3 Schedule'!$C$2:$C$500)))+(SUMPRODUCT(--('Week 3 Schedule'!$G$2:$G$500=$A34),--('Week 3 Schedule'!$I$2:$I$500=$B$28),--('Week 3 Schedule'!$H$2:$H$500&gt;'Week 3 Schedule'!$J$2:$J$500))+SUMPRODUCT(--('Week 3 Schedule'!$G$2:$G$500=$B$28),--('Week 3 Schedule'!$I$2:$I$500=$A34),--('Week 3 Schedule'!$J$2:$J$500&gt;'Week 3 Schedule'!$H$2:$H$500)))+(SUMPRODUCT(--('Week 4 Schedule'!$B$2:$B$500=$A34),--('Week 4 Schedule'!$D$2:$D$500=$B$28),--('Week 4 Schedule'!$C$2:$C$500&gt;'Week 4 Schedule'!$E$2:$E$500))+SUMPRODUCT(--('Week 4 Schedule'!$B$2:$B$500=$B$28),--('Week 4 Schedule'!$D$2:$D$500=$A34),--('Week 4 Schedule'!$E$2:$E$500&gt;'Week 4 Schedule'!$C$2:$C$500)))+(SUMPRODUCT(--('Week 4 Schedule'!$G$2:$G$500=$A34),--('Week 4 Schedule'!$I$2:$I$500=$B$28),--('Week 4 Schedule'!$H$2:$H$500&gt;'Week 4 Schedule'!$J$2:$J$500))+SUMPRODUCT(--('Week 4 Schedule'!$G$2:$G$500=$B$28),--('Week 4 Schedule'!$I$2:$I$500=$A34),--('Week 4 Schedule'!$J$2:$J$500&gt;'Week 4 Schedule'!$H$2:$H$500)))+(SUMPRODUCT(--('Week 5 Schedule'!$B$2:$B$500=$A34),--('Week 5 Schedule'!$D$2:$D$500=$B$28),--('Week 5 Schedule'!$C$2:$C$500&gt;'Week 5 Schedule'!$E$2:$E$500))+SUMPRODUCT(--('Week 5 Schedule'!$B$2:$B$500=$B$28),--('Week 5 Schedule'!$D$2:$D$500=$A34),--('Week 5 Schedule'!$E$2:$E$500&gt;'Week 5 Schedule'!$C$2:$C$500)))+(SUMPRODUCT(--('Week 5 Schedule'!$G$2:$G$500=$A34),--('Week 5 Schedule'!$I$2:$I$500=$B$28),--('Week 5 Schedule'!$H$2:$H$500&gt;'Week 5 Schedule'!$J$2:$J$500))+SUMPRODUCT(--('Week 5 Schedule'!$G$2:$G$500=$B$28),--('Week 5 Schedule'!$I$2:$I$500=$A34),--('Week 5 Schedule'!$J$2:$J$500&gt;'Week 5 Schedule'!$H$2:$H$500)))+(SUMPRODUCT(--('Week 6 Schedule'!$B$2:$B$500=$A34),--('Week 6 Schedule'!$D$2:$D$500=$B$28),--('Week 6 Schedule'!$C$2:$C$500&gt;'Week 6 Schedule'!$E$2:$E$500))+SUMPRODUCT(--('Week 6 Schedule'!$B$2:$B$500=$B$28),--('Week 6 Schedule'!$D$2:$D$500=$A34),--('Week 6 Schedule'!$E$2:$E$500&gt;'Week 6 Schedule'!$C$2:$C$500)))+(SUMPRODUCT(--('Week 6 Schedule'!$G$2:$G$500=$A34),--('Week 6 Schedule'!$I$2:$I$500=$B$28),--('Week 6 Schedule'!$H$2:$H$500&gt;'Week 6 Schedule'!$J$2:$J$500))+SUMPRODUCT(--('Week 6 Schedule'!$G$2:$G$500=$B$28),--('Week 6 Schedule'!$I$2:$I$500=$A34),--('Week 6 Schedule'!$J$2:$J$500&gt;'Week 6 Schedule'!$H$2:$H$500)))</f>
        <v>#REF!</v>
      </c>
      <c r="C34" t="str">
        <f>(SUMPRODUCT(--('Week 1 Schedule'!$B$2:$B$500=$A34),--('Week 1 Schedule'!$D$2:$D$500=$C$28),--('Week 1 Schedule'!$C$2:$C$500&gt;'Week 1 Schedule'!$E$2:$E$500))+SUMPRODUCT(--('Week 1 Schedule'!$B$2:$B$500=$C$28),--('Week 1 Schedule'!$D$2:$D$500=$A34),--('Week 1 Schedule'!$E$2:$E$500&gt;'Week 1 Schedule'!$C$2:$C$500)))+(SUMPRODUCT(--('Week 1 Schedule'!$G$2:$G$500=$A34),--('Week 1 Schedule'!$I$2:$I$500=$C$28),--('Week 1 Schedule'!$H$2:$H$500&gt;'Week 1 Schedule'!$J$2:$J$500))+SUMPRODUCT(--('Week 1 Schedule'!$G$2:$G$500=$C$28),--('Week 1 Schedule'!$I$2:$I$500=$A34),--('Week 1 Schedule'!$J$2:$J$500&gt;'Week 1 Schedule'!$H$2:$H$500)))+(SUMPRODUCT(--('Week 2 Schedule'!$B$2:$B$500=$A34),--('Week 2 Schedule'!$D$2:$D$500=$C$28),--('Week 2 Schedule'!$C$2:$C$500&gt;'Week 2 Schedule'!$E$2:$E$500))+SUMPRODUCT(--('Week 2 Schedule'!$B$2:$B$500=$C$28),--('Week 2 Schedule'!$D$2:$D$500=$A34),--('Week 2 Schedule'!$E$2:$E$500&gt;'Week 2 Schedule'!$C$2:$C$500)))+(SUMPRODUCT(--('Week 2 Schedule'!$G$2:$G$500=$A34),--('Week 2 Schedule'!$I$2:$I$500=$C$28),--('Week 2 Schedule'!$H$2:$H$500&gt;'Week 2 Schedule'!$J$2:$J$500))+SUMPRODUCT(--('Week 2 Schedule'!$G$2:$G$500=$C$28),--('Week 2 Schedule'!$I$2:$I$500=$A34),--('Week 2 Schedule'!$J$2:$J$500&gt;'Week 2 Schedule'!$H$2:$H$500)))+(SUMPRODUCT(--('Week 3 Schedule'!$B$2:$B$500=$A34),--('Week 3 Schedule'!$D$2:$D$500=$C$28),--('Week 3 Schedule'!$C$2:$C$500&gt;'Week 3 Schedule'!$E$2:$E$500))+SUMPRODUCT(--('Week 3 Schedule'!$B$2:$B$500=$C$28),--('Week 3 Schedule'!$D$2:$D$500=$A34),--('Week 3 Schedule'!$E$2:$E$500&gt;'Week 3 Schedule'!$C$2:$C$500)))+(SUMPRODUCT(--('Week 3 Schedule'!$G$2:$G$500=$A34),--('Week 3 Schedule'!$I$2:$I$500=$C$28),--('Week 3 Schedule'!$H$2:$H$500&gt;'Week 3 Schedule'!$J$2:$J$500))+SUMPRODUCT(--('Week 3 Schedule'!$G$2:$G$500=$C$28),--('Week 3 Schedule'!$I$2:$I$500=$A34),--('Week 3 Schedule'!$J$2:$J$500&gt;'Week 3 Schedule'!$H$2:$H$500)))+(SUMPRODUCT(--('Week 4 Schedule'!$B$2:$B$500=$A34),--('Week 4 Schedule'!$D$2:$D$500=$C$28),--('Week 4 Schedule'!$C$2:$C$500&gt;'Week 4 Schedule'!$E$2:$E$500))+SUMPRODUCT(--('Week 4 Schedule'!$B$2:$B$500=$C$28),--('Week 4 Schedule'!$D$2:$D$500=$A34),--('Week 4 Schedule'!$E$2:$E$500&gt;'Week 4 Schedule'!$C$2:$C$500)))+(SUMPRODUCT(--('Week 4 Schedule'!$G$2:$G$500=$A34),--('Week 4 Schedule'!$I$2:$I$500=$C$28),--('Week 4 Schedule'!$H$2:$H$500&gt;'Week 4 Schedule'!$J$2:$J$500))+SUMPRODUCT(--('Week 4 Schedule'!$G$2:$G$500=$C$28),--('Week 4 Schedule'!$I$2:$I$500=$A34),--('Week 4 Schedule'!$J$2:$J$500&gt;'Week 4 Schedule'!$H$2:$H$500)))+(SUMPRODUCT(--('Week 5 Schedule'!$B$2:$B$500=$A34),--('Week 5 Schedule'!$D$2:$D$500=$C$28),--('Week 5 Schedule'!$C$2:$C$500&gt;'Week 5 Schedule'!$E$2:$E$500))+SUMPRODUCT(--('Week 5 Schedule'!$B$2:$B$500=$C$28),--('Week 5 Schedule'!$D$2:$D$500=$A34),--('Week 5 Schedule'!$E$2:$E$500&gt;'Week 5 Schedule'!$C$2:$C$500)))+(SUMPRODUCT(--('Week 5 Schedule'!$G$2:$G$500=$A34),--('Week 5 Schedule'!$I$2:$I$500=$C$28),--('Week 5 Schedule'!$H$2:$H$500&gt;'Week 5 Schedule'!$J$2:$J$500))+SUMPRODUCT(--('Week 5 Schedule'!$G$2:$G$500=$C$28),--('Week 5 Schedule'!$I$2:$I$500=$A34),--('Week 5 Schedule'!$J$2:$J$500&gt;'Week 5 Schedule'!$H$2:$H$500)))+(SUMPRODUCT(--('Week 6 Schedule'!$B$2:$B$500=$A34),--('Week 6 Schedule'!$D$2:$D$500=$C$28),--('Week 6 Schedule'!$C$2:$C$500&gt;'Week 6 Schedule'!$E$2:$E$500))+SUMPRODUCT(--('Week 6 Schedule'!$B$2:$B$500=$C$28),--('Week 6 Schedule'!$D$2:$D$500=$A34),--('Week 6 Schedule'!$E$2:$E$500&gt;'Week 6 Schedule'!$C$2:$C$500)))+(SUMPRODUCT(--('Week 6 Schedule'!$G$2:$G$500=$A34),--('Week 6 Schedule'!$I$2:$I$500=$C$28),--('Week 6 Schedule'!$H$2:$H$500&gt;'Week 6 Schedule'!$J$2:$J$500))+SUMPRODUCT(--('Week 6 Schedule'!$G$2:$G$500=$C$28),--('Week 6 Schedule'!$I$2:$I$500=$A34),--('Week 6 Schedule'!$J$2:$J$500&gt;'Week 6 Schedule'!$H$2:$H$500)))</f>
        <v>#REF!</v>
      </c>
      <c r="D34" t="str">
        <f>(SUMPRODUCT(--('Week 1 Schedule'!$B$2:$B$500=$A34),--('Week 1 Schedule'!$D$2:$D$500=$D$28),--('Week 1 Schedule'!$C$2:$C$500&gt;'Week 1 Schedule'!$E$2:$E$500))+SUMPRODUCT(--('Week 1 Schedule'!$B$2:$B$500=$D$28),--('Week 1 Schedule'!$D$2:$D$500=$A34),--('Week 1 Schedule'!$E$2:$E$500&gt;'Week 1 Schedule'!$C$2:$C$500)))+(SUMPRODUCT(--('Week 1 Schedule'!$G$2:$G$500=$A34),--('Week 1 Schedule'!$I$2:$I$500=$D$28),--('Week 1 Schedule'!$H$2:$H$500&gt;'Week 1 Schedule'!$J$2:$J$500))+SUMPRODUCT(--('Week 1 Schedule'!$G$2:$G$500=$D$28),--('Week 1 Schedule'!$I$2:$I$500=$A34),--('Week 1 Schedule'!$J$2:$J$500&gt;'Week 1 Schedule'!$H$2:$H$500)))+(SUMPRODUCT(--('Week 2 Schedule'!$B$2:$B$500=$A34),--('Week 2 Schedule'!$D$2:$D$500=$D$28),--('Week 2 Schedule'!$C$2:$C$500&gt;'Week 2 Schedule'!$E$2:$E$500))+SUMPRODUCT(--('Week 2 Schedule'!$B$2:$B$500=$D$28),--('Week 2 Schedule'!$D$2:$D$500=$A34),--('Week 2 Schedule'!$E$2:$E$500&gt;'Week 2 Schedule'!$C$2:$C$500)))+(SUMPRODUCT(--('Week 2 Schedule'!$G$2:$G$500=$A34),--('Week 2 Schedule'!$I$2:$I$500=$D$28),--('Week 2 Schedule'!$H$2:$H$500&gt;'Week 2 Schedule'!$J$2:$J$500))+SUMPRODUCT(--('Week 2 Schedule'!$G$2:$G$500=$D$28),--('Week 2 Schedule'!$I$2:$I$500=$A34),--('Week 2 Schedule'!$J$2:$J$500&gt;'Week 2 Schedule'!$H$2:$H$500)))+(SUMPRODUCT(--('Week 3 Schedule'!$B$2:$B$500=$A34),--('Week 3 Schedule'!$D$2:$D$500=$D$28),--('Week 3 Schedule'!$C$2:$C$500&gt;'Week 3 Schedule'!$E$2:$E$500))+SUMPRODUCT(--('Week 3 Schedule'!$B$2:$B$500=$D$28),--('Week 3 Schedule'!$D$2:$D$500=$A34),--('Week 3 Schedule'!$E$2:$E$500&gt;'Week 3 Schedule'!$C$2:$C$500)))+(SUMPRODUCT(--('Week 3 Schedule'!$G$2:$G$500=$A34),--('Week 3 Schedule'!$I$2:$I$500=$D$28),--('Week 3 Schedule'!$H$2:$H$500&gt;'Week 3 Schedule'!$J$2:$J$500))+SUMPRODUCT(--('Week 3 Schedule'!$G$2:$G$500=$D$28),--('Week 3 Schedule'!$I$2:$I$500=$A34),--('Week 3 Schedule'!$J$2:$J$500&gt;'Week 3 Schedule'!$H$2:$H$500)))+(SUMPRODUCT(--('Week 4 Schedule'!$B$2:$B$500=$A34),--('Week 4 Schedule'!$D$2:$D$500=$D$28),--('Week 4 Schedule'!$C$2:$C$500&gt;'Week 4 Schedule'!$E$2:$E$500))+SUMPRODUCT(--('Week 4 Schedule'!$B$2:$B$500=$D$28),--('Week 4 Schedule'!$D$2:$D$500=$A34),--('Week 4 Schedule'!$E$2:$E$500&gt;'Week 4 Schedule'!$C$2:$C$500)))+(SUMPRODUCT(--('Week 4 Schedule'!$G$2:$G$500=$A34),--('Week 4 Schedule'!$I$2:$I$500=$D$28),--('Week 4 Schedule'!$H$2:$H$500&gt;'Week 4 Schedule'!$J$2:$J$500))+SUMPRODUCT(--('Week 4 Schedule'!$G$2:$G$500=$D$28),--('Week 4 Schedule'!$I$2:$I$500=$A34),--('Week 4 Schedule'!$J$2:$J$500&gt;'Week 4 Schedule'!$H$2:$H$500)))+(SUMPRODUCT(--('Week 5 Schedule'!$B$2:$B$500=$A34),--('Week 5 Schedule'!$D$2:$D$500=$D$28),--('Week 5 Schedule'!$C$2:$C$500&gt;'Week 5 Schedule'!$E$2:$E$500))+SUMPRODUCT(--('Week 5 Schedule'!$B$2:$B$500=$D$28),--('Week 5 Schedule'!$D$2:$D$500=$A34),--('Week 5 Schedule'!$E$2:$E$500&gt;'Week 5 Schedule'!$C$2:$C$500)))+(SUMPRODUCT(--('Week 5 Schedule'!$G$2:$G$500=$A34),--('Week 5 Schedule'!$I$2:$I$500=$D$28),--('Week 5 Schedule'!$H$2:$H$500&gt;'Week 5 Schedule'!$J$2:$J$500))+SUMPRODUCT(--('Week 5 Schedule'!$G$2:$G$500=$D$28),--('Week 5 Schedule'!$I$2:$I$500=$A34),--('Week 5 Schedule'!$J$2:$J$500&gt;'Week 5 Schedule'!$H$2:$H$500)))+(SUMPRODUCT(--('Week 6 Schedule'!$B$2:$B$500=$A34),--('Week 6 Schedule'!$D$2:$D$500=$D$28),--('Week 6 Schedule'!$C$2:$C$500&gt;'Week 6 Schedule'!$E$2:$E$500))+SUMPRODUCT(--('Week 6 Schedule'!$B$2:$B$500=$D$28),--('Week 6 Schedule'!$D$2:$D$500=$A34),--('Week 6 Schedule'!$E$2:$E$500&gt;'Week 6 Schedule'!$C$2:$C$500)))+(SUMPRODUCT(--('Week 6 Schedule'!$G$2:$G$500=$A34),--('Week 6 Schedule'!$I$2:$I$500=$D$28),--('Week 6 Schedule'!$H$2:$H$500&gt;'Week 6 Schedule'!$J$2:$J$500))+SUMPRODUCT(--('Week 6 Schedule'!$G$2:$G$500=$D$28),--('Week 6 Schedule'!$I$2:$I$500=$A34),--('Week 6 Schedule'!$J$2:$J$500&gt;'Week 6 Schedule'!$H$2:$H$500)))</f>
        <v>#REF!</v>
      </c>
      <c r="E34" t="str">
        <f>(SUMPRODUCT(--('Week 1 Schedule'!$B$2:$B$500=$A34),--('Week 1 Schedule'!$D$2:$D$500=$E$28),--('Week 1 Schedule'!$C$2:$C$500&gt;'Week 1 Schedule'!$E$2:$E$500))+SUMPRODUCT(--('Week 1 Schedule'!$B$2:$B$500=$E$28),--('Week 1 Schedule'!$D$2:$D$500=$A34),--('Week 1 Schedule'!$E$2:$E$500&gt;'Week 1 Schedule'!$C$2:$C$500)))+(SUMPRODUCT(--('Week 1 Schedule'!$G$2:$G$500=$A34),--('Week 1 Schedule'!$I$2:$I$500=$E$28),--('Week 1 Schedule'!$H$2:$H$500&gt;'Week 1 Schedule'!$J$2:$J$500))+SUMPRODUCT(--('Week 1 Schedule'!$G$2:$G$500=$E$28),--('Week 1 Schedule'!$I$2:$I$500=$A34),--('Week 1 Schedule'!$J$2:$J$500&gt;'Week 1 Schedule'!$H$2:$H$500)))+(SUMPRODUCT(--('Week 2 Schedule'!$B$2:$B$500=$A34),--('Week 2 Schedule'!$D$2:$D$500=$E$28),--('Week 2 Schedule'!$C$2:$C$500&gt;'Week 2 Schedule'!$E$2:$E$500))+SUMPRODUCT(--('Week 2 Schedule'!$B$2:$B$500=$E$28),--('Week 2 Schedule'!$D$2:$D$500=$A34),--('Week 2 Schedule'!$E$2:$E$500&gt;'Week 2 Schedule'!$C$2:$C$500)))+(SUMPRODUCT(--('Week 2 Schedule'!$G$2:$G$500=$A34),--('Week 2 Schedule'!$I$2:$I$500=$E$28),--('Week 2 Schedule'!$H$2:$H$500&gt;'Week 2 Schedule'!$J$2:$J$500))+SUMPRODUCT(--('Week 2 Schedule'!$G$2:$G$500=$E$28),--('Week 2 Schedule'!$I$2:$I$500=$A34),--('Week 2 Schedule'!$J$2:$J$500&gt;'Week 2 Schedule'!$H$2:$H$500)))+(SUMPRODUCT(--('Week 3 Schedule'!$B$2:$B$500=$A34),--('Week 3 Schedule'!$D$2:$D$500=$E$28),--('Week 3 Schedule'!$C$2:$C$500&gt;'Week 3 Schedule'!$E$2:$E$500))+SUMPRODUCT(--('Week 3 Schedule'!$B$2:$B$500=$E$28),--('Week 3 Schedule'!$D$2:$D$500=$A34),--('Week 3 Schedule'!$E$2:$E$500&gt;'Week 3 Schedule'!$C$2:$C$500)))+(SUMPRODUCT(--('Week 3 Schedule'!$G$2:$G$500=$A34),--('Week 3 Schedule'!$I$2:$I$500=$E$28),--('Week 3 Schedule'!$H$2:$H$500&gt;'Week 3 Schedule'!$J$2:$J$500))+SUMPRODUCT(--('Week 3 Schedule'!$G$2:$G$500=$E$28),--('Week 3 Schedule'!$I$2:$I$500=$A34),--('Week 3 Schedule'!$J$2:$J$500&gt;'Week 3 Schedule'!$H$2:$H$500)))+(SUMPRODUCT(--('Week 4 Schedule'!$B$2:$B$500=$A34),--('Week 4 Schedule'!$D$2:$D$500=$E$28),--('Week 4 Schedule'!$C$2:$C$500&gt;'Week 4 Schedule'!$E$2:$E$500))+SUMPRODUCT(--('Week 4 Schedule'!$B$2:$B$500=$E$28),--('Week 4 Schedule'!$D$2:$D$500=$A34),--('Week 4 Schedule'!$E$2:$E$500&gt;'Week 4 Schedule'!$C$2:$C$500)))+(SUMPRODUCT(--('Week 4 Schedule'!$G$2:$G$500=$A34),--('Week 4 Schedule'!$I$2:$I$500=$E$28),--('Week 4 Schedule'!$H$2:$H$500&gt;'Week 4 Schedule'!$J$2:$J$500))+SUMPRODUCT(--('Week 4 Schedule'!$G$2:$G$500=$E$28),--('Week 4 Schedule'!$I$2:$I$500=$A34),--('Week 4 Schedule'!$J$2:$J$500&gt;'Week 4 Schedule'!$H$2:$H$500)))+(SUMPRODUCT(--('Week 5 Schedule'!$B$2:$B$500=$A34),--('Week 5 Schedule'!$D$2:$D$500=$E$28),--('Week 5 Schedule'!$C$2:$C$500&gt;'Week 5 Schedule'!$E$2:$E$500))+SUMPRODUCT(--('Week 5 Schedule'!$B$2:$B$500=$E$28),--('Week 5 Schedule'!$D$2:$D$500=$A34),--('Week 5 Schedule'!$E$2:$E$500&gt;'Week 5 Schedule'!$C$2:$C$500)))+(SUMPRODUCT(--('Week 5 Schedule'!$G$2:$G$500=$A34),--('Week 5 Schedule'!$I$2:$I$500=$E$28),--('Week 5 Schedule'!$H$2:$H$500&gt;'Week 5 Schedule'!$J$2:$J$500))+SUMPRODUCT(--('Week 5 Schedule'!$G$2:$G$500=$E$28),--('Week 5 Schedule'!$I$2:$I$500=$A34),--('Week 5 Schedule'!$J$2:$J$500&gt;'Week 5 Schedule'!$H$2:$H$500)))+(SUMPRODUCT(--('Week 6 Schedule'!$B$2:$B$500=$A34),--('Week 6 Schedule'!$D$2:$D$500=$E$28),--('Week 6 Schedule'!$C$2:$C$500&gt;'Week 6 Schedule'!$E$2:$E$500))+SUMPRODUCT(--('Week 6 Schedule'!$B$2:$B$500=$E$28),--('Week 6 Schedule'!$D$2:$D$500=$A34),--('Week 6 Schedule'!$E$2:$E$500&gt;'Week 6 Schedule'!$C$2:$C$500)))+(SUMPRODUCT(--('Week 6 Schedule'!$G$2:$G$500=$A34),--('Week 6 Schedule'!$I$2:$I$500=$E$28),--('Week 6 Schedule'!$H$2:$H$500&gt;'Week 6 Schedule'!$J$2:$J$500))+SUMPRODUCT(--('Week 6 Schedule'!$G$2:$G$500=$E$28),--('Week 6 Schedule'!$I$2:$I$500=$A34),--('Week 6 Schedule'!$J$2:$J$500&gt;'Week 6 Schedule'!$H$2:$H$500)))</f>
        <v>#REF!</v>
      </c>
      <c r="F34" t="str">
        <f>(SUMPRODUCT(--('Week 1 Schedule'!$B$2:$B$500=$A34),--('Week 1 Schedule'!$D$2:$D$500=$F$28),--('Week 1 Schedule'!$C$2:$C$500&gt;'Week 1 Schedule'!$E$2:$E$500))+SUMPRODUCT(--('Week 1 Schedule'!$B$2:$B$500=$F$28),--('Week 1 Schedule'!$D$2:$D$500=$A34),--('Week 1 Schedule'!$E$2:$E$500&gt;'Week 1 Schedule'!$C$2:$C$500)))+(SUMPRODUCT(--('Week 1 Schedule'!$G$2:$G$500=$A34),--('Week 1 Schedule'!$I$2:$I$500=$F$28),--('Week 1 Schedule'!$H$2:$H$500&gt;'Week 1 Schedule'!$J$2:$J$500))+SUMPRODUCT(--('Week 1 Schedule'!$G$2:$G$500=$F$28),--('Week 1 Schedule'!$I$2:$I$500=$A34),--('Week 1 Schedule'!$J$2:$J$500&gt;'Week 1 Schedule'!$H$2:$H$500)))+(SUMPRODUCT(--('Week 2 Schedule'!$B$2:$B$500=$A34),--('Week 2 Schedule'!$D$2:$D$500=$F$28),--('Week 2 Schedule'!$C$2:$C$500&gt;'Week 2 Schedule'!$E$2:$E$500))+SUMPRODUCT(--('Week 2 Schedule'!$B$2:$B$500=$F$28),--('Week 2 Schedule'!$D$2:$D$500=$A34),--('Week 2 Schedule'!$E$2:$E$500&gt;'Week 2 Schedule'!$C$2:$C$500)))+(SUMPRODUCT(--('Week 2 Schedule'!$G$2:$G$500=$A34),--('Week 2 Schedule'!$I$2:$I$500=$F$28),--('Week 2 Schedule'!$H$2:$H$500&gt;'Week 2 Schedule'!$J$2:$J$500))+SUMPRODUCT(--('Week 2 Schedule'!$G$2:$G$500=$F$28),--('Week 2 Schedule'!$I$2:$I$500=$A34),--('Week 2 Schedule'!$J$2:$J$500&gt;'Week 2 Schedule'!$H$2:$H$500)))+(SUMPRODUCT(--('Week 3 Schedule'!$B$2:$B$500=$A34),--('Week 3 Schedule'!$D$2:$D$500=$F$28),--('Week 3 Schedule'!$C$2:$C$500&gt;'Week 3 Schedule'!$E$2:$E$500))+SUMPRODUCT(--('Week 3 Schedule'!$B$2:$B$500=$F$28),--('Week 3 Schedule'!$D$2:$D$500=$A34),--('Week 3 Schedule'!$E$2:$E$500&gt;'Week 3 Schedule'!$C$2:$C$500)))+(SUMPRODUCT(--('Week 3 Schedule'!$G$2:$G$500=$A34),--('Week 3 Schedule'!$I$2:$I$500=$F$28),--('Week 3 Schedule'!$H$2:$H$500&gt;'Week 3 Schedule'!$J$2:$J$500))+SUMPRODUCT(--('Week 3 Schedule'!$G$2:$G$500=$F$28),--('Week 3 Schedule'!$I$2:$I$500=$A34),--('Week 3 Schedule'!$J$2:$J$500&gt;'Week 3 Schedule'!$H$2:$H$500)))+(SUMPRODUCT(--('Week 4 Schedule'!$B$2:$B$500=$A34),--('Week 4 Schedule'!$D$2:$D$500=$F$28),--('Week 4 Schedule'!$C$2:$C$500&gt;'Week 4 Schedule'!$E$2:$E$500))+SUMPRODUCT(--('Week 4 Schedule'!$B$2:$B$500=$F$28),--('Week 4 Schedule'!$D$2:$D$500=$A34),--('Week 4 Schedule'!$E$2:$E$500&gt;'Week 4 Schedule'!$C$2:$C$500)))+(SUMPRODUCT(--('Week 4 Schedule'!$G$2:$G$500=$A34),--('Week 4 Schedule'!$I$2:$I$500=$F$28),--('Week 4 Schedule'!$H$2:$H$500&gt;'Week 4 Schedule'!$J$2:$J$500))+SUMPRODUCT(--('Week 4 Schedule'!$G$2:$G$500=$F$28),--('Week 4 Schedule'!$I$2:$I$500=$A34),--('Week 4 Schedule'!$J$2:$J$500&gt;'Week 4 Schedule'!$H$2:$H$500)))+(SUMPRODUCT(--('Week 5 Schedule'!$B$2:$B$500=$A34),--('Week 5 Schedule'!$D$2:$D$500=$F$28),--('Week 5 Schedule'!$C$2:$C$500&gt;'Week 5 Schedule'!$E$2:$E$500))+SUMPRODUCT(--('Week 5 Schedule'!$B$2:$B$500=$F$28),--('Week 5 Schedule'!$D$2:$D$500=$A34),--('Week 5 Schedule'!$E$2:$E$500&gt;'Week 5 Schedule'!$C$2:$C$500)))+(SUMPRODUCT(--('Week 5 Schedule'!$G$2:$G$500=$A34),--('Week 5 Schedule'!$I$2:$I$500=$F$28),--('Week 5 Schedule'!$H$2:$H$500&gt;'Week 5 Schedule'!$J$2:$J$500))+SUMPRODUCT(--('Week 5 Schedule'!$G$2:$G$500=$F$28),--('Week 5 Schedule'!$I$2:$I$500=$A34),--('Week 5 Schedule'!$J$2:$J$500&gt;'Week 5 Schedule'!$H$2:$H$500)))+(SUMPRODUCT(--('Week 6 Schedule'!$B$2:$B$500=$A34),--('Week 6 Schedule'!$D$2:$D$500=$F$28),--('Week 6 Schedule'!$C$2:$C$500&gt;'Week 6 Schedule'!$E$2:$E$500))+SUMPRODUCT(--('Week 6 Schedule'!$B$2:$B$500=$F$28),--('Week 6 Schedule'!$D$2:$D$500=$A34),--('Week 6 Schedule'!$E$2:$E$500&gt;'Week 6 Schedule'!$C$2:$C$500)))+(SUMPRODUCT(--('Week 6 Schedule'!$G$2:$G$500=$A34),--('Week 6 Schedule'!$I$2:$I$500=$F$28),--('Week 6 Schedule'!$H$2:$H$500&gt;'Week 6 Schedule'!$J$2:$J$500))+SUMPRODUCT(--('Week 6 Schedule'!$G$2:$G$500=$F$28),--('Week 6 Schedule'!$I$2:$I$500=$A34),--('Week 6 Schedule'!$J$2:$J$500&gt;'Week 6 Schedule'!$H$2:$H$500)))</f>
        <v>#REF!</v>
      </c>
      <c r="G34" t="str">
        <v>—</v>
      </c>
      <c r="H34" t="str">
        <f>(SUMPRODUCT(--('Week 1 Schedule'!$B$2:$B$500=$A34),--('Week 1 Schedule'!$D$2:$D$500=$H$28),--('Week 1 Schedule'!$C$2:$C$500&gt;'Week 1 Schedule'!$E$2:$E$500))+SUMPRODUCT(--('Week 1 Schedule'!$B$2:$B$500=$H$28),--('Week 1 Schedule'!$D$2:$D$500=$A34),--('Week 1 Schedule'!$E$2:$E$500&gt;'Week 1 Schedule'!$C$2:$C$500)))+(SUMPRODUCT(--('Week 1 Schedule'!$G$2:$G$500=$A34),--('Week 1 Schedule'!$I$2:$I$500=$H$28),--('Week 1 Schedule'!$H$2:$H$500&gt;'Week 1 Schedule'!$J$2:$J$500))+SUMPRODUCT(--('Week 1 Schedule'!$G$2:$G$500=$H$28),--('Week 1 Schedule'!$I$2:$I$500=$A34),--('Week 1 Schedule'!$J$2:$J$500&gt;'Week 1 Schedule'!$H$2:$H$500)))+(SUMPRODUCT(--('Week 2 Schedule'!$B$2:$B$500=$A34),--('Week 2 Schedule'!$D$2:$D$500=$H$28),--('Week 2 Schedule'!$C$2:$C$500&gt;'Week 2 Schedule'!$E$2:$E$500))+SUMPRODUCT(--('Week 2 Schedule'!$B$2:$B$500=$H$28),--('Week 2 Schedule'!$D$2:$D$500=$A34),--('Week 2 Schedule'!$E$2:$E$500&gt;'Week 2 Schedule'!$C$2:$C$500)))+(SUMPRODUCT(--('Week 2 Schedule'!$G$2:$G$500=$A34),--('Week 2 Schedule'!$I$2:$I$500=$H$28),--('Week 2 Schedule'!$H$2:$H$500&gt;'Week 2 Schedule'!$J$2:$J$500))+SUMPRODUCT(--('Week 2 Schedule'!$G$2:$G$500=$H$28),--('Week 2 Schedule'!$I$2:$I$500=$A34),--('Week 2 Schedule'!$J$2:$J$500&gt;'Week 2 Schedule'!$H$2:$H$500)))+(SUMPRODUCT(--('Week 3 Schedule'!$B$2:$B$500=$A34),--('Week 3 Schedule'!$D$2:$D$500=$H$28),--('Week 3 Schedule'!$C$2:$C$500&gt;'Week 3 Schedule'!$E$2:$E$500))+SUMPRODUCT(--('Week 3 Schedule'!$B$2:$B$500=$H$28),--('Week 3 Schedule'!$D$2:$D$500=$A34),--('Week 3 Schedule'!$E$2:$E$500&gt;'Week 3 Schedule'!$C$2:$C$500)))+(SUMPRODUCT(--('Week 3 Schedule'!$G$2:$G$500=$A34),--('Week 3 Schedule'!$I$2:$I$500=$H$28),--('Week 3 Schedule'!$H$2:$H$500&gt;'Week 3 Schedule'!$J$2:$J$500))+SUMPRODUCT(--('Week 3 Schedule'!$G$2:$G$500=$H$28),--('Week 3 Schedule'!$I$2:$I$500=$A34),--('Week 3 Schedule'!$J$2:$J$500&gt;'Week 3 Schedule'!$H$2:$H$500)))+(SUMPRODUCT(--('Week 4 Schedule'!$B$2:$B$500=$A34),--('Week 4 Schedule'!$D$2:$D$500=$H$28),--('Week 4 Schedule'!$C$2:$C$500&gt;'Week 4 Schedule'!$E$2:$E$500))+SUMPRODUCT(--('Week 4 Schedule'!$B$2:$B$500=$H$28),--('Week 4 Schedule'!$D$2:$D$500=$A34),--('Week 4 Schedule'!$E$2:$E$500&gt;'Week 4 Schedule'!$C$2:$C$500)))+(SUMPRODUCT(--('Week 4 Schedule'!$G$2:$G$500=$A34),--('Week 4 Schedule'!$I$2:$I$500=$H$28),--('Week 4 Schedule'!$H$2:$H$500&gt;'Week 4 Schedule'!$J$2:$J$500))+SUMPRODUCT(--('Week 4 Schedule'!$G$2:$G$500=$H$28),--('Week 4 Schedule'!$I$2:$I$500=$A34),--('Week 4 Schedule'!$J$2:$J$500&gt;'Week 4 Schedule'!$H$2:$H$500)))+(SUMPRODUCT(--('Week 5 Schedule'!$B$2:$B$500=$A34),--('Week 5 Schedule'!$D$2:$D$500=$H$28),--('Week 5 Schedule'!$C$2:$C$500&gt;'Week 5 Schedule'!$E$2:$E$500))+SUMPRODUCT(--('Week 5 Schedule'!$B$2:$B$500=$H$28),--('Week 5 Schedule'!$D$2:$D$500=$A34),--('Week 5 Schedule'!$E$2:$E$500&gt;'Week 5 Schedule'!$C$2:$C$500)))+(SUMPRODUCT(--('Week 5 Schedule'!$G$2:$G$500=$A34),--('Week 5 Schedule'!$I$2:$I$500=$H$28),--('Week 5 Schedule'!$H$2:$H$500&gt;'Week 5 Schedule'!$J$2:$J$500))+SUMPRODUCT(--('Week 5 Schedule'!$G$2:$G$500=$H$28),--('Week 5 Schedule'!$I$2:$I$500=$A34),--('Week 5 Schedule'!$J$2:$J$500&gt;'Week 5 Schedule'!$H$2:$H$500)))+(SUMPRODUCT(--('Week 6 Schedule'!$B$2:$B$500=$A34),--('Week 6 Schedule'!$D$2:$D$500=$H$28),--('Week 6 Schedule'!$C$2:$C$500&gt;'Week 6 Schedule'!$E$2:$E$500))+SUMPRODUCT(--('Week 6 Schedule'!$B$2:$B$500=$H$28),--('Week 6 Schedule'!$D$2:$D$500=$A34),--('Week 6 Schedule'!$E$2:$E$500&gt;'Week 6 Schedule'!$C$2:$C$500)))+(SUMPRODUCT(--('Week 6 Schedule'!$G$2:$G$500=$A34),--('Week 6 Schedule'!$I$2:$I$500=$H$28),--('Week 6 Schedule'!$H$2:$H$500&gt;'Week 6 Schedule'!$J$2:$J$500))+SUMPRODUCT(--('Week 6 Schedule'!$G$2:$G$500=$H$28),--('Week 6 Schedule'!$I$2:$I$500=$A34),--('Week 6 Schedule'!$J$2:$J$500&gt;'Week 6 Schedule'!$H$2:$H$500)))</f>
        <v>#REF!</v>
      </c>
      <c r="I34" t="str">
        <f>(SUMPRODUCT(--('Week 1 Schedule'!$B$2:$B$500=$A34),--('Week 1 Schedule'!$D$2:$D$500=$I$28),--('Week 1 Schedule'!$C$2:$C$500&gt;'Week 1 Schedule'!$E$2:$E$500))+SUMPRODUCT(--('Week 1 Schedule'!$B$2:$B$500=$I$28),--('Week 1 Schedule'!$D$2:$D$500=$A34),--('Week 1 Schedule'!$E$2:$E$500&gt;'Week 1 Schedule'!$C$2:$C$500)))+(SUMPRODUCT(--('Week 1 Schedule'!$G$2:$G$500=$A34),--('Week 1 Schedule'!$I$2:$I$500=$I$28),--('Week 1 Schedule'!$H$2:$H$500&gt;'Week 1 Schedule'!$J$2:$J$500))+SUMPRODUCT(--('Week 1 Schedule'!$G$2:$G$500=$I$28),--('Week 1 Schedule'!$I$2:$I$500=$A34),--('Week 1 Schedule'!$J$2:$J$500&gt;'Week 1 Schedule'!$H$2:$H$500)))+(SUMPRODUCT(--('Week 2 Schedule'!$B$2:$B$500=$A34),--('Week 2 Schedule'!$D$2:$D$500=$I$28),--('Week 2 Schedule'!$C$2:$C$500&gt;'Week 2 Schedule'!$E$2:$E$500))+SUMPRODUCT(--('Week 2 Schedule'!$B$2:$B$500=$I$28),--('Week 2 Schedule'!$D$2:$D$500=$A34),--('Week 2 Schedule'!$E$2:$E$500&gt;'Week 2 Schedule'!$C$2:$C$500)))+(SUMPRODUCT(--('Week 2 Schedule'!$G$2:$G$500=$A34),--('Week 2 Schedule'!$I$2:$I$500=$I$28),--('Week 2 Schedule'!$H$2:$H$500&gt;'Week 2 Schedule'!$J$2:$J$500))+SUMPRODUCT(--('Week 2 Schedule'!$G$2:$G$500=$I$28),--('Week 2 Schedule'!$I$2:$I$500=$A34),--('Week 2 Schedule'!$J$2:$J$500&gt;'Week 2 Schedule'!$H$2:$H$500)))+(SUMPRODUCT(--('Week 3 Schedule'!$B$2:$B$500=$A34),--('Week 3 Schedule'!$D$2:$D$500=$I$28),--('Week 3 Schedule'!$C$2:$C$500&gt;'Week 3 Schedule'!$E$2:$E$500))+SUMPRODUCT(--('Week 3 Schedule'!$B$2:$B$500=$I$28),--('Week 3 Schedule'!$D$2:$D$500=$A34),--('Week 3 Schedule'!$E$2:$E$500&gt;'Week 3 Schedule'!$C$2:$C$500)))+(SUMPRODUCT(--('Week 3 Schedule'!$G$2:$G$500=$A34),--('Week 3 Schedule'!$I$2:$I$500=$I$28),--('Week 3 Schedule'!$H$2:$H$500&gt;'Week 3 Schedule'!$J$2:$J$500))+SUMPRODUCT(--('Week 3 Schedule'!$G$2:$G$500=$I$28),--('Week 3 Schedule'!$I$2:$I$500=$A34),--('Week 3 Schedule'!$J$2:$J$500&gt;'Week 3 Schedule'!$H$2:$H$500)))+(SUMPRODUCT(--('Week 4 Schedule'!$B$2:$B$500=$A34),--('Week 4 Schedule'!$D$2:$D$500=$I$28),--('Week 4 Schedule'!$C$2:$C$500&gt;'Week 4 Schedule'!$E$2:$E$500))+SUMPRODUCT(--('Week 4 Schedule'!$B$2:$B$500=$I$28),--('Week 4 Schedule'!$D$2:$D$500=$A34),--('Week 4 Schedule'!$E$2:$E$500&gt;'Week 4 Schedule'!$C$2:$C$500)))+(SUMPRODUCT(--('Week 4 Schedule'!$G$2:$G$500=$A34),--('Week 4 Schedule'!$I$2:$I$500=$I$28),--('Week 4 Schedule'!$H$2:$H$500&gt;'Week 4 Schedule'!$J$2:$J$500))+SUMPRODUCT(--('Week 4 Schedule'!$G$2:$G$500=$I$28),--('Week 4 Schedule'!$I$2:$I$500=$A34),--('Week 4 Schedule'!$J$2:$J$500&gt;'Week 4 Schedule'!$H$2:$H$500)))+(SUMPRODUCT(--('Week 5 Schedule'!$B$2:$B$500=$A34),--('Week 5 Schedule'!$D$2:$D$500=$I$28),--('Week 5 Schedule'!$C$2:$C$500&gt;'Week 5 Schedule'!$E$2:$E$500))+SUMPRODUCT(--('Week 5 Schedule'!$B$2:$B$500=$I$28),--('Week 5 Schedule'!$D$2:$D$500=$A34),--('Week 5 Schedule'!$E$2:$E$500&gt;'Week 5 Schedule'!$C$2:$C$500)))+(SUMPRODUCT(--('Week 5 Schedule'!$G$2:$G$500=$A34),--('Week 5 Schedule'!$I$2:$I$500=$I$28),--('Week 5 Schedule'!$H$2:$H$500&gt;'Week 5 Schedule'!$J$2:$J$500))+SUMPRODUCT(--('Week 5 Schedule'!$G$2:$G$500=$I$28),--('Week 5 Schedule'!$I$2:$I$500=$A34),--('Week 5 Schedule'!$J$2:$J$500&gt;'Week 5 Schedule'!$H$2:$H$500)))+(SUMPRODUCT(--('Week 6 Schedule'!$B$2:$B$500=$A34),--('Week 6 Schedule'!$D$2:$D$500=$I$28),--('Week 6 Schedule'!$C$2:$C$500&gt;'Week 6 Schedule'!$E$2:$E$500))+SUMPRODUCT(--('Week 6 Schedule'!$B$2:$B$500=$I$28),--('Week 6 Schedule'!$D$2:$D$500=$A34),--('Week 6 Schedule'!$E$2:$E$500&gt;'Week 6 Schedule'!$C$2:$C$500)))+(SUMPRODUCT(--('Week 6 Schedule'!$G$2:$G$500=$A34),--('Week 6 Schedule'!$I$2:$I$500=$I$28),--('Week 6 Schedule'!$H$2:$H$500&gt;'Week 6 Schedule'!$J$2:$J$500))+SUMPRODUCT(--('Week 6 Schedule'!$G$2:$G$500=$I$28),--('Week 6 Schedule'!$I$2:$I$500=$A34),--('Week 6 Schedule'!$J$2:$J$500&gt;'Week 6 Schedule'!$H$2:$H$500)))</f>
        <v>#REF!</v>
      </c>
    </row>
    <row r="35">
      <c r="A35" t="str">
        <v>Free Agents of Chaos</v>
      </c>
      <c r="B35" t="str">
        <f>(SUMPRODUCT(--('Week 1 Schedule'!$B$2:$B$500=$A35),--('Week 1 Schedule'!$D$2:$D$500=$B$28),--('Week 1 Schedule'!$C$2:$C$500&gt;'Week 1 Schedule'!$E$2:$E$500))+SUMPRODUCT(--('Week 1 Schedule'!$B$2:$B$500=$B$28),--('Week 1 Schedule'!$D$2:$D$500=$A35),--('Week 1 Schedule'!$E$2:$E$500&gt;'Week 1 Schedule'!$C$2:$C$500)))+(SUMPRODUCT(--('Week 1 Schedule'!$G$2:$G$500=$A35),--('Week 1 Schedule'!$I$2:$I$500=$B$28),--('Week 1 Schedule'!$H$2:$H$500&gt;'Week 1 Schedule'!$J$2:$J$500))+SUMPRODUCT(--('Week 1 Schedule'!$G$2:$G$500=$B$28),--('Week 1 Schedule'!$I$2:$I$500=$A35),--('Week 1 Schedule'!$J$2:$J$500&gt;'Week 1 Schedule'!$H$2:$H$500)))+(SUMPRODUCT(--('Week 2 Schedule'!$B$2:$B$500=$A35),--('Week 2 Schedule'!$D$2:$D$500=$B$28),--('Week 2 Schedule'!$C$2:$C$500&gt;'Week 2 Schedule'!$E$2:$E$500))+SUMPRODUCT(--('Week 2 Schedule'!$B$2:$B$500=$B$28),--('Week 2 Schedule'!$D$2:$D$500=$A35),--('Week 2 Schedule'!$E$2:$E$500&gt;'Week 2 Schedule'!$C$2:$C$500)))+(SUMPRODUCT(--('Week 2 Schedule'!$G$2:$G$500=$A35),--('Week 2 Schedule'!$I$2:$I$500=$B$28),--('Week 2 Schedule'!$H$2:$H$500&gt;'Week 2 Schedule'!$J$2:$J$500))+SUMPRODUCT(--('Week 2 Schedule'!$G$2:$G$500=$B$28),--('Week 2 Schedule'!$I$2:$I$500=$A35),--('Week 2 Schedule'!$J$2:$J$500&gt;'Week 2 Schedule'!$H$2:$H$500)))+(SUMPRODUCT(--('Week 3 Schedule'!$B$2:$B$500=$A35),--('Week 3 Schedule'!$D$2:$D$500=$B$28),--('Week 3 Schedule'!$C$2:$C$500&gt;'Week 3 Schedule'!$E$2:$E$500))+SUMPRODUCT(--('Week 3 Schedule'!$B$2:$B$500=$B$28),--('Week 3 Schedule'!$D$2:$D$500=$A35),--('Week 3 Schedule'!$E$2:$E$500&gt;'Week 3 Schedule'!$C$2:$C$500)))+(SUMPRODUCT(--('Week 3 Schedule'!$G$2:$G$500=$A35),--('Week 3 Schedule'!$I$2:$I$500=$B$28),--('Week 3 Schedule'!$H$2:$H$500&gt;'Week 3 Schedule'!$J$2:$J$500))+SUMPRODUCT(--('Week 3 Schedule'!$G$2:$G$500=$B$28),--('Week 3 Schedule'!$I$2:$I$500=$A35),--('Week 3 Schedule'!$J$2:$J$500&gt;'Week 3 Schedule'!$H$2:$H$500)))+(SUMPRODUCT(--('Week 4 Schedule'!$B$2:$B$500=$A35),--('Week 4 Schedule'!$D$2:$D$500=$B$28),--('Week 4 Schedule'!$C$2:$C$500&gt;'Week 4 Schedule'!$E$2:$E$500))+SUMPRODUCT(--('Week 4 Schedule'!$B$2:$B$500=$B$28),--('Week 4 Schedule'!$D$2:$D$500=$A35),--('Week 4 Schedule'!$E$2:$E$500&gt;'Week 4 Schedule'!$C$2:$C$500)))+(SUMPRODUCT(--('Week 4 Schedule'!$G$2:$G$500=$A35),--('Week 4 Schedule'!$I$2:$I$500=$B$28),--('Week 4 Schedule'!$H$2:$H$500&gt;'Week 4 Schedule'!$J$2:$J$500))+SUMPRODUCT(--('Week 4 Schedule'!$G$2:$G$500=$B$28),--('Week 4 Schedule'!$I$2:$I$500=$A35),--('Week 4 Schedule'!$J$2:$J$500&gt;'Week 4 Schedule'!$H$2:$H$500)))+(SUMPRODUCT(--('Week 5 Schedule'!$B$2:$B$500=$A35),--('Week 5 Schedule'!$D$2:$D$500=$B$28),--('Week 5 Schedule'!$C$2:$C$500&gt;'Week 5 Schedule'!$E$2:$E$500))+SUMPRODUCT(--('Week 5 Schedule'!$B$2:$B$500=$B$28),--('Week 5 Schedule'!$D$2:$D$500=$A35),--('Week 5 Schedule'!$E$2:$E$500&gt;'Week 5 Schedule'!$C$2:$C$500)))+(SUMPRODUCT(--('Week 5 Schedule'!$G$2:$G$500=$A35),--('Week 5 Schedule'!$I$2:$I$500=$B$28),--('Week 5 Schedule'!$H$2:$H$500&gt;'Week 5 Schedule'!$J$2:$J$500))+SUMPRODUCT(--('Week 5 Schedule'!$G$2:$G$500=$B$28),--('Week 5 Schedule'!$I$2:$I$500=$A35),--('Week 5 Schedule'!$J$2:$J$500&gt;'Week 5 Schedule'!$H$2:$H$500)))+(SUMPRODUCT(--('Week 6 Schedule'!$B$2:$B$500=$A35),--('Week 6 Schedule'!$D$2:$D$500=$B$28),--('Week 6 Schedule'!$C$2:$C$500&gt;'Week 6 Schedule'!$E$2:$E$500))+SUMPRODUCT(--('Week 6 Schedule'!$B$2:$B$500=$B$28),--('Week 6 Schedule'!$D$2:$D$500=$A35),--('Week 6 Schedule'!$E$2:$E$500&gt;'Week 6 Schedule'!$C$2:$C$500)))+(SUMPRODUCT(--('Week 6 Schedule'!$G$2:$G$500=$A35),--('Week 6 Schedule'!$I$2:$I$500=$B$28),--('Week 6 Schedule'!$H$2:$H$500&gt;'Week 6 Schedule'!$J$2:$J$500))+SUMPRODUCT(--('Week 6 Schedule'!$G$2:$G$500=$B$28),--('Week 6 Schedule'!$I$2:$I$500=$A35),--('Week 6 Schedule'!$J$2:$J$500&gt;'Week 6 Schedule'!$H$2:$H$500)))</f>
        <v>#REF!</v>
      </c>
      <c r="C35" t="str">
        <f>(SUMPRODUCT(--('Week 1 Schedule'!$B$2:$B$500=$A35),--('Week 1 Schedule'!$D$2:$D$500=$C$28),--('Week 1 Schedule'!$C$2:$C$500&gt;'Week 1 Schedule'!$E$2:$E$500))+SUMPRODUCT(--('Week 1 Schedule'!$B$2:$B$500=$C$28),--('Week 1 Schedule'!$D$2:$D$500=$A35),--('Week 1 Schedule'!$E$2:$E$500&gt;'Week 1 Schedule'!$C$2:$C$500)))+(SUMPRODUCT(--('Week 1 Schedule'!$G$2:$G$500=$A35),--('Week 1 Schedule'!$I$2:$I$500=$C$28),--('Week 1 Schedule'!$H$2:$H$500&gt;'Week 1 Schedule'!$J$2:$J$500))+SUMPRODUCT(--('Week 1 Schedule'!$G$2:$G$500=$C$28),--('Week 1 Schedule'!$I$2:$I$500=$A35),--('Week 1 Schedule'!$J$2:$J$500&gt;'Week 1 Schedule'!$H$2:$H$500)))+(SUMPRODUCT(--('Week 2 Schedule'!$B$2:$B$500=$A35),--('Week 2 Schedule'!$D$2:$D$500=$C$28),--('Week 2 Schedule'!$C$2:$C$500&gt;'Week 2 Schedule'!$E$2:$E$500))+SUMPRODUCT(--('Week 2 Schedule'!$B$2:$B$500=$C$28),--('Week 2 Schedule'!$D$2:$D$500=$A35),--('Week 2 Schedule'!$E$2:$E$500&gt;'Week 2 Schedule'!$C$2:$C$500)))+(SUMPRODUCT(--('Week 2 Schedule'!$G$2:$G$500=$A35),--('Week 2 Schedule'!$I$2:$I$500=$C$28),--('Week 2 Schedule'!$H$2:$H$500&gt;'Week 2 Schedule'!$J$2:$J$500))+SUMPRODUCT(--('Week 2 Schedule'!$G$2:$G$500=$C$28),--('Week 2 Schedule'!$I$2:$I$500=$A35),--('Week 2 Schedule'!$J$2:$J$500&gt;'Week 2 Schedule'!$H$2:$H$500)))+(SUMPRODUCT(--('Week 3 Schedule'!$B$2:$B$500=$A35),--('Week 3 Schedule'!$D$2:$D$500=$C$28),--('Week 3 Schedule'!$C$2:$C$500&gt;'Week 3 Schedule'!$E$2:$E$500))+SUMPRODUCT(--('Week 3 Schedule'!$B$2:$B$500=$C$28),--('Week 3 Schedule'!$D$2:$D$500=$A35),--('Week 3 Schedule'!$E$2:$E$500&gt;'Week 3 Schedule'!$C$2:$C$500)))+(SUMPRODUCT(--('Week 3 Schedule'!$G$2:$G$500=$A35),--('Week 3 Schedule'!$I$2:$I$500=$C$28),--('Week 3 Schedule'!$H$2:$H$500&gt;'Week 3 Schedule'!$J$2:$J$500))+SUMPRODUCT(--('Week 3 Schedule'!$G$2:$G$500=$C$28),--('Week 3 Schedule'!$I$2:$I$500=$A35),--('Week 3 Schedule'!$J$2:$J$500&gt;'Week 3 Schedule'!$H$2:$H$500)))+(SUMPRODUCT(--('Week 4 Schedule'!$B$2:$B$500=$A35),--('Week 4 Schedule'!$D$2:$D$500=$C$28),--('Week 4 Schedule'!$C$2:$C$500&gt;'Week 4 Schedule'!$E$2:$E$500))+SUMPRODUCT(--('Week 4 Schedule'!$B$2:$B$500=$C$28),--('Week 4 Schedule'!$D$2:$D$500=$A35),--('Week 4 Schedule'!$E$2:$E$500&gt;'Week 4 Schedule'!$C$2:$C$500)))+(SUMPRODUCT(--('Week 4 Schedule'!$G$2:$G$500=$A35),--('Week 4 Schedule'!$I$2:$I$500=$C$28),--('Week 4 Schedule'!$H$2:$H$500&gt;'Week 4 Schedule'!$J$2:$J$500))+SUMPRODUCT(--('Week 4 Schedule'!$G$2:$G$500=$C$28),--('Week 4 Schedule'!$I$2:$I$500=$A35),--('Week 4 Schedule'!$J$2:$J$500&gt;'Week 4 Schedule'!$H$2:$H$500)))+(SUMPRODUCT(--('Week 5 Schedule'!$B$2:$B$500=$A35),--('Week 5 Schedule'!$D$2:$D$500=$C$28),--('Week 5 Schedule'!$C$2:$C$500&gt;'Week 5 Schedule'!$E$2:$E$500))+SUMPRODUCT(--('Week 5 Schedule'!$B$2:$B$500=$C$28),--('Week 5 Schedule'!$D$2:$D$500=$A35),--('Week 5 Schedule'!$E$2:$E$500&gt;'Week 5 Schedule'!$C$2:$C$500)))+(SUMPRODUCT(--('Week 5 Schedule'!$G$2:$G$500=$A35),--('Week 5 Schedule'!$I$2:$I$500=$C$28),--('Week 5 Schedule'!$H$2:$H$500&gt;'Week 5 Schedule'!$J$2:$J$500))+SUMPRODUCT(--('Week 5 Schedule'!$G$2:$G$500=$C$28),--('Week 5 Schedule'!$I$2:$I$500=$A35),--('Week 5 Schedule'!$J$2:$J$500&gt;'Week 5 Schedule'!$H$2:$H$500)))+(SUMPRODUCT(--('Week 6 Schedule'!$B$2:$B$500=$A35),--('Week 6 Schedule'!$D$2:$D$500=$C$28),--('Week 6 Schedule'!$C$2:$C$500&gt;'Week 6 Schedule'!$E$2:$E$500))+SUMPRODUCT(--('Week 6 Schedule'!$B$2:$B$500=$C$28),--('Week 6 Schedule'!$D$2:$D$500=$A35),--('Week 6 Schedule'!$E$2:$E$500&gt;'Week 6 Schedule'!$C$2:$C$500)))+(SUMPRODUCT(--('Week 6 Schedule'!$G$2:$G$500=$A35),--('Week 6 Schedule'!$I$2:$I$500=$C$28),--('Week 6 Schedule'!$H$2:$H$500&gt;'Week 6 Schedule'!$J$2:$J$500))+SUMPRODUCT(--('Week 6 Schedule'!$G$2:$G$500=$C$28),--('Week 6 Schedule'!$I$2:$I$500=$A35),--('Week 6 Schedule'!$J$2:$J$500&gt;'Week 6 Schedule'!$H$2:$H$500)))</f>
        <v>#REF!</v>
      </c>
      <c r="D35" t="str">
        <f>(SUMPRODUCT(--('Week 1 Schedule'!$B$2:$B$500=$A35),--('Week 1 Schedule'!$D$2:$D$500=$D$28),--('Week 1 Schedule'!$C$2:$C$500&gt;'Week 1 Schedule'!$E$2:$E$500))+SUMPRODUCT(--('Week 1 Schedule'!$B$2:$B$500=$D$28),--('Week 1 Schedule'!$D$2:$D$500=$A35),--('Week 1 Schedule'!$E$2:$E$500&gt;'Week 1 Schedule'!$C$2:$C$500)))+(SUMPRODUCT(--('Week 1 Schedule'!$G$2:$G$500=$A35),--('Week 1 Schedule'!$I$2:$I$500=$D$28),--('Week 1 Schedule'!$H$2:$H$500&gt;'Week 1 Schedule'!$J$2:$J$500))+SUMPRODUCT(--('Week 1 Schedule'!$G$2:$G$500=$D$28),--('Week 1 Schedule'!$I$2:$I$500=$A35),--('Week 1 Schedule'!$J$2:$J$500&gt;'Week 1 Schedule'!$H$2:$H$500)))+(SUMPRODUCT(--('Week 2 Schedule'!$B$2:$B$500=$A35),--('Week 2 Schedule'!$D$2:$D$500=$D$28),--('Week 2 Schedule'!$C$2:$C$500&gt;'Week 2 Schedule'!$E$2:$E$500))+SUMPRODUCT(--('Week 2 Schedule'!$B$2:$B$500=$D$28),--('Week 2 Schedule'!$D$2:$D$500=$A35),--('Week 2 Schedule'!$E$2:$E$500&gt;'Week 2 Schedule'!$C$2:$C$500)))+(SUMPRODUCT(--('Week 2 Schedule'!$G$2:$G$500=$A35),--('Week 2 Schedule'!$I$2:$I$500=$D$28),--('Week 2 Schedule'!$H$2:$H$500&gt;'Week 2 Schedule'!$J$2:$J$500))+SUMPRODUCT(--('Week 2 Schedule'!$G$2:$G$500=$D$28),--('Week 2 Schedule'!$I$2:$I$500=$A35),--('Week 2 Schedule'!$J$2:$J$500&gt;'Week 2 Schedule'!$H$2:$H$500)))+(SUMPRODUCT(--('Week 3 Schedule'!$B$2:$B$500=$A35),--('Week 3 Schedule'!$D$2:$D$500=$D$28),--('Week 3 Schedule'!$C$2:$C$500&gt;'Week 3 Schedule'!$E$2:$E$500))+SUMPRODUCT(--('Week 3 Schedule'!$B$2:$B$500=$D$28),--('Week 3 Schedule'!$D$2:$D$500=$A35),--('Week 3 Schedule'!$E$2:$E$500&gt;'Week 3 Schedule'!$C$2:$C$500)))+(SUMPRODUCT(--('Week 3 Schedule'!$G$2:$G$500=$A35),--('Week 3 Schedule'!$I$2:$I$500=$D$28),--('Week 3 Schedule'!$H$2:$H$500&gt;'Week 3 Schedule'!$J$2:$J$500))+SUMPRODUCT(--('Week 3 Schedule'!$G$2:$G$500=$D$28),--('Week 3 Schedule'!$I$2:$I$500=$A35),--('Week 3 Schedule'!$J$2:$J$500&gt;'Week 3 Schedule'!$H$2:$H$500)))+(SUMPRODUCT(--('Week 4 Schedule'!$B$2:$B$500=$A35),--('Week 4 Schedule'!$D$2:$D$500=$D$28),--('Week 4 Schedule'!$C$2:$C$500&gt;'Week 4 Schedule'!$E$2:$E$500))+SUMPRODUCT(--('Week 4 Schedule'!$B$2:$B$500=$D$28),--('Week 4 Schedule'!$D$2:$D$500=$A35),--('Week 4 Schedule'!$E$2:$E$500&gt;'Week 4 Schedule'!$C$2:$C$500)))+(SUMPRODUCT(--('Week 4 Schedule'!$G$2:$G$500=$A35),--('Week 4 Schedule'!$I$2:$I$500=$D$28),--('Week 4 Schedule'!$H$2:$H$500&gt;'Week 4 Schedule'!$J$2:$J$500))+SUMPRODUCT(--('Week 4 Schedule'!$G$2:$G$500=$D$28),--('Week 4 Schedule'!$I$2:$I$500=$A35),--('Week 4 Schedule'!$J$2:$J$500&gt;'Week 4 Schedule'!$H$2:$H$500)))+(SUMPRODUCT(--('Week 5 Schedule'!$B$2:$B$500=$A35),--('Week 5 Schedule'!$D$2:$D$500=$D$28),--('Week 5 Schedule'!$C$2:$C$500&gt;'Week 5 Schedule'!$E$2:$E$500))+SUMPRODUCT(--('Week 5 Schedule'!$B$2:$B$500=$D$28),--('Week 5 Schedule'!$D$2:$D$500=$A35),--('Week 5 Schedule'!$E$2:$E$500&gt;'Week 5 Schedule'!$C$2:$C$500)))+(SUMPRODUCT(--('Week 5 Schedule'!$G$2:$G$500=$A35),--('Week 5 Schedule'!$I$2:$I$500=$D$28),--('Week 5 Schedule'!$H$2:$H$500&gt;'Week 5 Schedule'!$J$2:$J$500))+SUMPRODUCT(--('Week 5 Schedule'!$G$2:$G$500=$D$28),--('Week 5 Schedule'!$I$2:$I$500=$A35),--('Week 5 Schedule'!$J$2:$J$500&gt;'Week 5 Schedule'!$H$2:$H$500)))+(SUMPRODUCT(--('Week 6 Schedule'!$B$2:$B$500=$A35),--('Week 6 Schedule'!$D$2:$D$500=$D$28),--('Week 6 Schedule'!$C$2:$C$500&gt;'Week 6 Schedule'!$E$2:$E$500))+SUMPRODUCT(--('Week 6 Schedule'!$B$2:$B$500=$D$28),--('Week 6 Schedule'!$D$2:$D$500=$A35),--('Week 6 Schedule'!$E$2:$E$500&gt;'Week 6 Schedule'!$C$2:$C$500)))+(SUMPRODUCT(--('Week 6 Schedule'!$G$2:$G$500=$A35),--('Week 6 Schedule'!$I$2:$I$500=$D$28),--('Week 6 Schedule'!$H$2:$H$500&gt;'Week 6 Schedule'!$J$2:$J$500))+SUMPRODUCT(--('Week 6 Schedule'!$G$2:$G$500=$D$28),--('Week 6 Schedule'!$I$2:$I$500=$A35),--('Week 6 Schedule'!$J$2:$J$500&gt;'Week 6 Schedule'!$H$2:$H$500)))</f>
        <v>#REF!</v>
      </c>
      <c r="E35" t="str">
        <f>(SUMPRODUCT(--('Week 1 Schedule'!$B$2:$B$500=$A35),--('Week 1 Schedule'!$D$2:$D$500=$E$28),--('Week 1 Schedule'!$C$2:$C$500&gt;'Week 1 Schedule'!$E$2:$E$500))+SUMPRODUCT(--('Week 1 Schedule'!$B$2:$B$500=$E$28),--('Week 1 Schedule'!$D$2:$D$500=$A35),--('Week 1 Schedule'!$E$2:$E$500&gt;'Week 1 Schedule'!$C$2:$C$500)))+(SUMPRODUCT(--('Week 1 Schedule'!$G$2:$G$500=$A35),--('Week 1 Schedule'!$I$2:$I$500=$E$28),--('Week 1 Schedule'!$H$2:$H$500&gt;'Week 1 Schedule'!$J$2:$J$500))+SUMPRODUCT(--('Week 1 Schedule'!$G$2:$G$500=$E$28),--('Week 1 Schedule'!$I$2:$I$500=$A35),--('Week 1 Schedule'!$J$2:$J$500&gt;'Week 1 Schedule'!$H$2:$H$500)))+(SUMPRODUCT(--('Week 2 Schedule'!$B$2:$B$500=$A35),--('Week 2 Schedule'!$D$2:$D$500=$E$28),--('Week 2 Schedule'!$C$2:$C$500&gt;'Week 2 Schedule'!$E$2:$E$500))+SUMPRODUCT(--('Week 2 Schedule'!$B$2:$B$500=$E$28),--('Week 2 Schedule'!$D$2:$D$500=$A35),--('Week 2 Schedule'!$E$2:$E$500&gt;'Week 2 Schedule'!$C$2:$C$500)))+(SUMPRODUCT(--('Week 2 Schedule'!$G$2:$G$500=$A35),--('Week 2 Schedule'!$I$2:$I$500=$E$28),--('Week 2 Schedule'!$H$2:$H$500&gt;'Week 2 Schedule'!$J$2:$J$500))+SUMPRODUCT(--('Week 2 Schedule'!$G$2:$G$500=$E$28),--('Week 2 Schedule'!$I$2:$I$500=$A35),--('Week 2 Schedule'!$J$2:$J$500&gt;'Week 2 Schedule'!$H$2:$H$500)))+(SUMPRODUCT(--('Week 3 Schedule'!$B$2:$B$500=$A35),--('Week 3 Schedule'!$D$2:$D$500=$E$28),--('Week 3 Schedule'!$C$2:$C$500&gt;'Week 3 Schedule'!$E$2:$E$500))+SUMPRODUCT(--('Week 3 Schedule'!$B$2:$B$500=$E$28),--('Week 3 Schedule'!$D$2:$D$500=$A35),--('Week 3 Schedule'!$E$2:$E$500&gt;'Week 3 Schedule'!$C$2:$C$500)))+(SUMPRODUCT(--('Week 3 Schedule'!$G$2:$G$500=$A35),--('Week 3 Schedule'!$I$2:$I$500=$E$28),--('Week 3 Schedule'!$H$2:$H$500&gt;'Week 3 Schedule'!$J$2:$J$500))+SUMPRODUCT(--('Week 3 Schedule'!$G$2:$G$500=$E$28),--('Week 3 Schedule'!$I$2:$I$500=$A35),--('Week 3 Schedule'!$J$2:$J$500&gt;'Week 3 Schedule'!$H$2:$H$500)))+(SUMPRODUCT(--('Week 4 Schedule'!$B$2:$B$500=$A35),--('Week 4 Schedule'!$D$2:$D$500=$E$28),--('Week 4 Schedule'!$C$2:$C$500&gt;'Week 4 Schedule'!$E$2:$E$500))+SUMPRODUCT(--('Week 4 Schedule'!$B$2:$B$500=$E$28),--('Week 4 Schedule'!$D$2:$D$500=$A35),--('Week 4 Schedule'!$E$2:$E$500&gt;'Week 4 Schedule'!$C$2:$C$500)))+(SUMPRODUCT(--('Week 4 Schedule'!$G$2:$G$500=$A35),--('Week 4 Schedule'!$I$2:$I$500=$E$28),--('Week 4 Schedule'!$H$2:$H$500&gt;'Week 4 Schedule'!$J$2:$J$500))+SUMPRODUCT(--('Week 4 Schedule'!$G$2:$G$500=$E$28),--('Week 4 Schedule'!$I$2:$I$500=$A35),--('Week 4 Schedule'!$J$2:$J$500&gt;'Week 4 Schedule'!$H$2:$H$500)))+(SUMPRODUCT(--('Week 5 Schedule'!$B$2:$B$500=$A35),--('Week 5 Schedule'!$D$2:$D$500=$E$28),--('Week 5 Schedule'!$C$2:$C$500&gt;'Week 5 Schedule'!$E$2:$E$500))+SUMPRODUCT(--('Week 5 Schedule'!$B$2:$B$500=$E$28),--('Week 5 Schedule'!$D$2:$D$500=$A35),--('Week 5 Schedule'!$E$2:$E$500&gt;'Week 5 Schedule'!$C$2:$C$500)))+(SUMPRODUCT(--('Week 5 Schedule'!$G$2:$G$500=$A35),--('Week 5 Schedule'!$I$2:$I$500=$E$28),--('Week 5 Schedule'!$H$2:$H$500&gt;'Week 5 Schedule'!$J$2:$J$500))+SUMPRODUCT(--('Week 5 Schedule'!$G$2:$G$500=$E$28),--('Week 5 Schedule'!$I$2:$I$500=$A35),--('Week 5 Schedule'!$J$2:$J$500&gt;'Week 5 Schedule'!$H$2:$H$500)))+(SUMPRODUCT(--('Week 6 Schedule'!$B$2:$B$500=$A35),--('Week 6 Schedule'!$D$2:$D$500=$E$28),--('Week 6 Schedule'!$C$2:$C$500&gt;'Week 6 Schedule'!$E$2:$E$500))+SUMPRODUCT(--('Week 6 Schedule'!$B$2:$B$500=$E$28),--('Week 6 Schedule'!$D$2:$D$500=$A35),--('Week 6 Schedule'!$E$2:$E$500&gt;'Week 6 Schedule'!$C$2:$C$500)))+(SUMPRODUCT(--('Week 6 Schedule'!$G$2:$G$500=$A35),--('Week 6 Schedule'!$I$2:$I$500=$E$28),--('Week 6 Schedule'!$H$2:$H$500&gt;'Week 6 Schedule'!$J$2:$J$500))+SUMPRODUCT(--('Week 6 Schedule'!$G$2:$G$500=$E$28),--('Week 6 Schedule'!$I$2:$I$500=$A35),--('Week 6 Schedule'!$J$2:$J$500&gt;'Week 6 Schedule'!$H$2:$H$500)))</f>
        <v>#REF!</v>
      </c>
      <c r="F35" t="str">
        <f>(SUMPRODUCT(--('Week 1 Schedule'!$B$2:$B$500=$A35),--('Week 1 Schedule'!$D$2:$D$500=$F$28),--('Week 1 Schedule'!$C$2:$C$500&gt;'Week 1 Schedule'!$E$2:$E$500))+SUMPRODUCT(--('Week 1 Schedule'!$B$2:$B$500=$F$28),--('Week 1 Schedule'!$D$2:$D$500=$A35),--('Week 1 Schedule'!$E$2:$E$500&gt;'Week 1 Schedule'!$C$2:$C$500)))+(SUMPRODUCT(--('Week 1 Schedule'!$G$2:$G$500=$A35),--('Week 1 Schedule'!$I$2:$I$500=$F$28),--('Week 1 Schedule'!$H$2:$H$500&gt;'Week 1 Schedule'!$J$2:$J$500))+SUMPRODUCT(--('Week 1 Schedule'!$G$2:$G$500=$F$28),--('Week 1 Schedule'!$I$2:$I$500=$A35),--('Week 1 Schedule'!$J$2:$J$500&gt;'Week 1 Schedule'!$H$2:$H$500)))+(SUMPRODUCT(--('Week 2 Schedule'!$B$2:$B$500=$A35),--('Week 2 Schedule'!$D$2:$D$500=$F$28),--('Week 2 Schedule'!$C$2:$C$500&gt;'Week 2 Schedule'!$E$2:$E$500))+SUMPRODUCT(--('Week 2 Schedule'!$B$2:$B$500=$F$28),--('Week 2 Schedule'!$D$2:$D$500=$A35),--('Week 2 Schedule'!$E$2:$E$500&gt;'Week 2 Schedule'!$C$2:$C$500)))+(SUMPRODUCT(--('Week 2 Schedule'!$G$2:$G$500=$A35),--('Week 2 Schedule'!$I$2:$I$500=$F$28),--('Week 2 Schedule'!$H$2:$H$500&gt;'Week 2 Schedule'!$J$2:$J$500))+SUMPRODUCT(--('Week 2 Schedule'!$G$2:$G$500=$F$28),--('Week 2 Schedule'!$I$2:$I$500=$A35),--('Week 2 Schedule'!$J$2:$J$500&gt;'Week 2 Schedule'!$H$2:$H$500)))+(SUMPRODUCT(--('Week 3 Schedule'!$B$2:$B$500=$A35),--('Week 3 Schedule'!$D$2:$D$500=$F$28),--('Week 3 Schedule'!$C$2:$C$500&gt;'Week 3 Schedule'!$E$2:$E$500))+SUMPRODUCT(--('Week 3 Schedule'!$B$2:$B$500=$F$28),--('Week 3 Schedule'!$D$2:$D$500=$A35),--('Week 3 Schedule'!$E$2:$E$500&gt;'Week 3 Schedule'!$C$2:$C$500)))+(SUMPRODUCT(--('Week 3 Schedule'!$G$2:$G$500=$A35),--('Week 3 Schedule'!$I$2:$I$500=$F$28),--('Week 3 Schedule'!$H$2:$H$500&gt;'Week 3 Schedule'!$J$2:$J$500))+SUMPRODUCT(--('Week 3 Schedule'!$G$2:$G$500=$F$28),--('Week 3 Schedule'!$I$2:$I$500=$A35),--('Week 3 Schedule'!$J$2:$J$500&gt;'Week 3 Schedule'!$H$2:$H$500)))+(SUMPRODUCT(--('Week 4 Schedule'!$B$2:$B$500=$A35),--('Week 4 Schedule'!$D$2:$D$500=$F$28),--('Week 4 Schedule'!$C$2:$C$500&gt;'Week 4 Schedule'!$E$2:$E$500))+SUMPRODUCT(--('Week 4 Schedule'!$B$2:$B$500=$F$28),--('Week 4 Schedule'!$D$2:$D$500=$A35),--('Week 4 Schedule'!$E$2:$E$500&gt;'Week 4 Schedule'!$C$2:$C$500)))+(SUMPRODUCT(--('Week 4 Schedule'!$G$2:$G$500=$A35),--('Week 4 Schedule'!$I$2:$I$500=$F$28),--('Week 4 Schedule'!$H$2:$H$500&gt;'Week 4 Schedule'!$J$2:$J$500))+SUMPRODUCT(--('Week 4 Schedule'!$G$2:$G$500=$F$28),--('Week 4 Schedule'!$I$2:$I$500=$A35),--('Week 4 Schedule'!$J$2:$J$500&gt;'Week 4 Schedule'!$H$2:$H$500)))+(SUMPRODUCT(--('Week 5 Schedule'!$B$2:$B$500=$A35),--('Week 5 Schedule'!$D$2:$D$500=$F$28),--('Week 5 Schedule'!$C$2:$C$500&gt;'Week 5 Schedule'!$E$2:$E$500))+SUMPRODUCT(--('Week 5 Schedule'!$B$2:$B$500=$F$28),--('Week 5 Schedule'!$D$2:$D$500=$A35),--('Week 5 Schedule'!$E$2:$E$500&gt;'Week 5 Schedule'!$C$2:$C$500)))+(SUMPRODUCT(--('Week 5 Schedule'!$G$2:$G$500=$A35),--('Week 5 Schedule'!$I$2:$I$500=$F$28),--('Week 5 Schedule'!$H$2:$H$500&gt;'Week 5 Schedule'!$J$2:$J$500))+SUMPRODUCT(--('Week 5 Schedule'!$G$2:$G$500=$F$28),--('Week 5 Schedule'!$I$2:$I$500=$A35),--('Week 5 Schedule'!$J$2:$J$500&gt;'Week 5 Schedule'!$H$2:$H$500)))+(SUMPRODUCT(--('Week 6 Schedule'!$B$2:$B$500=$A35),--('Week 6 Schedule'!$D$2:$D$500=$F$28),--('Week 6 Schedule'!$C$2:$C$500&gt;'Week 6 Schedule'!$E$2:$E$500))+SUMPRODUCT(--('Week 6 Schedule'!$B$2:$B$500=$F$28),--('Week 6 Schedule'!$D$2:$D$500=$A35),--('Week 6 Schedule'!$E$2:$E$500&gt;'Week 6 Schedule'!$C$2:$C$500)))+(SUMPRODUCT(--('Week 6 Schedule'!$G$2:$G$500=$A35),--('Week 6 Schedule'!$I$2:$I$500=$F$28),--('Week 6 Schedule'!$H$2:$H$500&gt;'Week 6 Schedule'!$J$2:$J$500))+SUMPRODUCT(--('Week 6 Schedule'!$G$2:$G$500=$F$28),--('Week 6 Schedule'!$I$2:$I$500=$A35),--('Week 6 Schedule'!$J$2:$J$500&gt;'Week 6 Schedule'!$H$2:$H$500)))</f>
        <v>#REF!</v>
      </c>
      <c r="G35" t="str">
        <f>(SUMPRODUCT(--('Week 1 Schedule'!$B$2:$B$500=$A35),--('Week 1 Schedule'!$D$2:$D$500=$G$28),--('Week 1 Schedule'!$C$2:$C$500&gt;'Week 1 Schedule'!$E$2:$E$500))+SUMPRODUCT(--('Week 1 Schedule'!$B$2:$B$500=$G$28),--('Week 1 Schedule'!$D$2:$D$500=$A35),--('Week 1 Schedule'!$E$2:$E$500&gt;'Week 1 Schedule'!$C$2:$C$500)))+(SUMPRODUCT(--('Week 1 Schedule'!$G$2:$G$500=$A35),--('Week 1 Schedule'!$I$2:$I$500=$G$28),--('Week 1 Schedule'!$H$2:$H$500&gt;'Week 1 Schedule'!$J$2:$J$500))+SUMPRODUCT(--('Week 1 Schedule'!$G$2:$G$500=$G$28),--('Week 1 Schedule'!$I$2:$I$500=$A35),--('Week 1 Schedule'!$J$2:$J$500&gt;'Week 1 Schedule'!$H$2:$H$500)))+(SUMPRODUCT(--('Week 2 Schedule'!$B$2:$B$500=$A35),--('Week 2 Schedule'!$D$2:$D$500=$G$28),--('Week 2 Schedule'!$C$2:$C$500&gt;'Week 2 Schedule'!$E$2:$E$500))+SUMPRODUCT(--('Week 2 Schedule'!$B$2:$B$500=$G$28),--('Week 2 Schedule'!$D$2:$D$500=$A35),--('Week 2 Schedule'!$E$2:$E$500&gt;'Week 2 Schedule'!$C$2:$C$500)))+(SUMPRODUCT(--('Week 2 Schedule'!$G$2:$G$500=$A35),--('Week 2 Schedule'!$I$2:$I$500=$G$28),--('Week 2 Schedule'!$H$2:$H$500&gt;'Week 2 Schedule'!$J$2:$J$500))+SUMPRODUCT(--('Week 2 Schedule'!$G$2:$G$500=$G$28),--('Week 2 Schedule'!$I$2:$I$500=$A35),--('Week 2 Schedule'!$J$2:$J$500&gt;'Week 2 Schedule'!$H$2:$H$500)))+(SUMPRODUCT(--('Week 3 Schedule'!$B$2:$B$500=$A35),--('Week 3 Schedule'!$D$2:$D$500=$G$28),--('Week 3 Schedule'!$C$2:$C$500&gt;'Week 3 Schedule'!$E$2:$E$500))+SUMPRODUCT(--('Week 3 Schedule'!$B$2:$B$500=$G$28),--('Week 3 Schedule'!$D$2:$D$500=$A35),--('Week 3 Schedule'!$E$2:$E$500&gt;'Week 3 Schedule'!$C$2:$C$500)))+(SUMPRODUCT(--('Week 3 Schedule'!$G$2:$G$500=$A35),--('Week 3 Schedule'!$I$2:$I$500=$G$28),--('Week 3 Schedule'!$H$2:$H$500&gt;'Week 3 Schedule'!$J$2:$J$500))+SUMPRODUCT(--('Week 3 Schedule'!$G$2:$G$500=$G$28),--('Week 3 Schedule'!$I$2:$I$500=$A35),--('Week 3 Schedule'!$J$2:$J$500&gt;'Week 3 Schedule'!$H$2:$H$500)))+(SUMPRODUCT(--('Week 4 Schedule'!$B$2:$B$500=$A35),--('Week 4 Schedule'!$D$2:$D$500=$G$28),--('Week 4 Schedule'!$C$2:$C$500&gt;'Week 4 Schedule'!$E$2:$E$500))+SUMPRODUCT(--('Week 4 Schedule'!$B$2:$B$500=$G$28),--('Week 4 Schedule'!$D$2:$D$500=$A35),--('Week 4 Schedule'!$E$2:$E$500&gt;'Week 4 Schedule'!$C$2:$C$500)))+(SUMPRODUCT(--('Week 4 Schedule'!$G$2:$G$500=$A35),--('Week 4 Schedule'!$I$2:$I$500=$G$28),--('Week 4 Schedule'!$H$2:$H$500&gt;'Week 4 Schedule'!$J$2:$J$500))+SUMPRODUCT(--('Week 4 Schedule'!$G$2:$G$500=$G$28),--('Week 4 Schedule'!$I$2:$I$500=$A35),--('Week 4 Schedule'!$J$2:$J$500&gt;'Week 4 Schedule'!$H$2:$H$500)))+(SUMPRODUCT(--('Week 5 Schedule'!$B$2:$B$500=$A35),--('Week 5 Schedule'!$D$2:$D$500=$G$28),--('Week 5 Schedule'!$C$2:$C$500&gt;'Week 5 Schedule'!$E$2:$E$500))+SUMPRODUCT(--('Week 5 Schedule'!$B$2:$B$500=$G$28),--('Week 5 Schedule'!$D$2:$D$500=$A35),--('Week 5 Schedule'!$E$2:$E$500&gt;'Week 5 Schedule'!$C$2:$C$500)))+(SUMPRODUCT(--('Week 5 Schedule'!$G$2:$G$500=$A35),--('Week 5 Schedule'!$I$2:$I$500=$G$28),--('Week 5 Schedule'!$H$2:$H$500&gt;'Week 5 Schedule'!$J$2:$J$500))+SUMPRODUCT(--('Week 5 Schedule'!$G$2:$G$500=$G$28),--('Week 5 Schedule'!$I$2:$I$500=$A35),--('Week 5 Schedule'!$J$2:$J$500&gt;'Week 5 Schedule'!$H$2:$H$500)))+(SUMPRODUCT(--('Week 6 Schedule'!$B$2:$B$500=$A35),--('Week 6 Schedule'!$D$2:$D$500=$G$28),--('Week 6 Schedule'!$C$2:$C$500&gt;'Week 6 Schedule'!$E$2:$E$500))+SUMPRODUCT(--('Week 6 Schedule'!$B$2:$B$500=$G$28),--('Week 6 Schedule'!$D$2:$D$500=$A35),--('Week 6 Schedule'!$E$2:$E$500&gt;'Week 6 Schedule'!$C$2:$C$500)))+(SUMPRODUCT(--('Week 6 Schedule'!$G$2:$G$500=$A35),--('Week 6 Schedule'!$I$2:$I$500=$G$28),--('Week 6 Schedule'!$H$2:$H$500&gt;'Week 6 Schedule'!$J$2:$J$500))+SUMPRODUCT(--('Week 6 Schedule'!$G$2:$G$500=$G$28),--('Week 6 Schedule'!$I$2:$I$500=$A35),--('Week 6 Schedule'!$J$2:$J$500&gt;'Week 6 Schedule'!$H$2:$H$500)))</f>
        <v>#REF!</v>
      </c>
      <c r="H35" t="str">
        <v>—</v>
      </c>
      <c r="I35" t="str">
        <f>(SUMPRODUCT(--('Week 1 Schedule'!$B$2:$B$500=$A35),--('Week 1 Schedule'!$D$2:$D$500=$I$28),--('Week 1 Schedule'!$C$2:$C$500&gt;'Week 1 Schedule'!$E$2:$E$500))+SUMPRODUCT(--('Week 1 Schedule'!$B$2:$B$500=$I$28),--('Week 1 Schedule'!$D$2:$D$500=$A35),--('Week 1 Schedule'!$E$2:$E$500&gt;'Week 1 Schedule'!$C$2:$C$500)))+(SUMPRODUCT(--('Week 1 Schedule'!$G$2:$G$500=$A35),--('Week 1 Schedule'!$I$2:$I$500=$I$28),--('Week 1 Schedule'!$H$2:$H$500&gt;'Week 1 Schedule'!$J$2:$J$500))+SUMPRODUCT(--('Week 1 Schedule'!$G$2:$G$500=$I$28),--('Week 1 Schedule'!$I$2:$I$500=$A35),--('Week 1 Schedule'!$J$2:$J$500&gt;'Week 1 Schedule'!$H$2:$H$500)))+(SUMPRODUCT(--('Week 2 Schedule'!$B$2:$B$500=$A35),--('Week 2 Schedule'!$D$2:$D$500=$I$28),--('Week 2 Schedule'!$C$2:$C$500&gt;'Week 2 Schedule'!$E$2:$E$500))+SUMPRODUCT(--('Week 2 Schedule'!$B$2:$B$500=$I$28),--('Week 2 Schedule'!$D$2:$D$500=$A35),--('Week 2 Schedule'!$E$2:$E$500&gt;'Week 2 Schedule'!$C$2:$C$500)))+(SUMPRODUCT(--('Week 2 Schedule'!$G$2:$G$500=$A35),--('Week 2 Schedule'!$I$2:$I$500=$I$28),--('Week 2 Schedule'!$H$2:$H$500&gt;'Week 2 Schedule'!$J$2:$J$500))+SUMPRODUCT(--('Week 2 Schedule'!$G$2:$G$500=$I$28),--('Week 2 Schedule'!$I$2:$I$500=$A35),--('Week 2 Schedule'!$J$2:$J$500&gt;'Week 2 Schedule'!$H$2:$H$500)))+(SUMPRODUCT(--('Week 3 Schedule'!$B$2:$B$500=$A35),--('Week 3 Schedule'!$D$2:$D$500=$I$28),--('Week 3 Schedule'!$C$2:$C$500&gt;'Week 3 Schedule'!$E$2:$E$500))+SUMPRODUCT(--('Week 3 Schedule'!$B$2:$B$500=$I$28),--('Week 3 Schedule'!$D$2:$D$500=$A35),--('Week 3 Schedule'!$E$2:$E$500&gt;'Week 3 Schedule'!$C$2:$C$500)))+(SUMPRODUCT(--('Week 3 Schedule'!$G$2:$G$500=$A35),--('Week 3 Schedule'!$I$2:$I$500=$I$28),--('Week 3 Schedule'!$H$2:$H$500&gt;'Week 3 Schedule'!$J$2:$J$500))+SUMPRODUCT(--('Week 3 Schedule'!$G$2:$G$500=$I$28),--('Week 3 Schedule'!$I$2:$I$500=$A35),--('Week 3 Schedule'!$J$2:$J$500&gt;'Week 3 Schedule'!$H$2:$H$500)))+(SUMPRODUCT(--('Week 4 Schedule'!$B$2:$B$500=$A35),--('Week 4 Schedule'!$D$2:$D$500=$I$28),--('Week 4 Schedule'!$C$2:$C$500&gt;'Week 4 Schedule'!$E$2:$E$500))+SUMPRODUCT(--('Week 4 Schedule'!$B$2:$B$500=$I$28),--('Week 4 Schedule'!$D$2:$D$500=$A35),--('Week 4 Schedule'!$E$2:$E$500&gt;'Week 4 Schedule'!$C$2:$C$500)))+(SUMPRODUCT(--('Week 4 Schedule'!$G$2:$G$500=$A35),--('Week 4 Schedule'!$I$2:$I$500=$I$28),--('Week 4 Schedule'!$H$2:$H$500&gt;'Week 4 Schedule'!$J$2:$J$500))+SUMPRODUCT(--('Week 4 Schedule'!$G$2:$G$500=$I$28),--('Week 4 Schedule'!$I$2:$I$500=$A35),--('Week 4 Schedule'!$J$2:$J$500&gt;'Week 4 Schedule'!$H$2:$H$500)))+(SUMPRODUCT(--('Week 5 Schedule'!$B$2:$B$500=$A35),--('Week 5 Schedule'!$D$2:$D$500=$I$28),--('Week 5 Schedule'!$C$2:$C$500&gt;'Week 5 Schedule'!$E$2:$E$500))+SUMPRODUCT(--('Week 5 Schedule'!$B$2:$B$500=$I$28),--('Week 5 Schedule'!$D$2:$D$500=$A35),--('Week 5 Schedule'!$E$2:$E$500&gt;'Week 5 Schedule'!$C$2:$C$500)))+(SUMPRODUCT(--('Week 5 Schedule'!$G$2:$G$500=$A35),--('Week 5 Schedule'!$I$2:$I$500=$I$28),--('Week 5 Schedule'!$H$2:$H$500&gt;'Week 5 Schedule'!$J$2:$J$500))+SUMPRODUCT(--('Week 5 Schedule'!$G$2:$G$500=$I$28),--('Week 5 Schedule'!$I$2:$I$500=$A35),--('Week 5 Schedule'!$J$2:$J$500&gt;'Week 5 Schedule'!$H$2:$H$500)))+(SUMPRODUCT(--('Week 6 Schedule'!$B$2:$B$500=$A35),--('Week 6 Schedule'!$D$2:$D$500=$I$28),--('Week 6 Schedule'!$C$2:$C$500&gt;'Week 6 Schedule'!$E$2:$E$500))+SUMPRODUCT(--('Week 6 Schedule'!$B$2:$B$500=$I$28),--('Week 6 Schedule'!$D$2:$D$500=$A35),--('Week 6 Schedule'!$E$2:$E$500&gt;'Week 6 Schedule'!$C$2:$C$500)))+(SUMPRODUCT(--('Week 6 Schedule'!$G$2:$G$500=$A35),--('Week 6 Schedule'!$I$2:$I$500=$I$28),--('Week 6 Schedule'!$H$2:$H$500&gt;'Week 6 Schedule'!$J$2:$J$500))+SUMPRODUCT(--('Week 6 Schedule'!$G$2:$G$500=$I$28),--('Week 6 Schedule'!$I$2:$I$500=$A35),--('Week 6 Schedule'!$J$2:$J$500&gt;'Week 6 Schedule'!$H$2:$H$500)))</f>
        <v>#REF!</v>
      </c>
    </row>
    <row r="36">
      <c r="A36" t="str">
        <v>Cash Only</v>
      </c>
      <c r="B36" t="str">
        <f>(SUMPRODUCT(--('Week 1 Schedule'!$B$2:$B$500=$A36),--('Week 1 Schedule'!$D$2:$D$500=$B$28),--('Week 1 Schedule'!$C$2:$C$500&gt;'Week 1 Schedule'!$E$2:$E$500))+SUMPRODUCT(--('Week 1 Schedule'!$B$2:$B$500=$B$28),--('Week 1 Schedule'!$D$2:$D$500=$A36),--('Week 1 Schedule'!$E$2:$E$500&gt;'Week 1 Schedule'!$C$2:$C$500)))+(SUMPRODUCT(--('Week 1 Schedule'!$G$2:$G$500=$A36),--('Week 1 Schedule'!$I$2:$I$500=$B$28),--('Week 1 Schedule'!$H$2:$H$500&gt;'Week 1 Schedule'!$J$2:$J$500))+SUMPRODUCT(--('Week 1 Schedule'!$G$2:$G$500=$B$28),--('Week 1 Schedule'!$I$2:$I$500=$A36),--('Week 1 Schedule'!$J$2:$J$500&gt;'Week 1 Schedule'!$H$2:$H$500)))+(SUMPRODUCT(--('Week 2 Schedule'!$B$2:$B$500=$A36),--('Week 2 Schedule'!$D$2:$D$500=$B$28),--('Week 2 Schedule'!$C$2:$C$500&gt;'Week 2 Schedule'!$E$2:$E$500))+SUMPRODUCT(--('Week 2 Schedule'!$B$2:$B$500=$B$28),--('Week 2 Schedule'!$D$2:$D$500=$A36),--('Week 2 Schedule'!$E$2:$E$500&gt;'Week 2 Schedule'!$C$2:$C$500)))+(SUMPRODUCT(--('Week 2 Schedule'!$G$2:$G$500=$A36),--('Week 2 Schedule'!$I$2:$I$500=$B$28),--('Week 2 Schedule'!$H$2:$H$500&gt;'Week 2 Schedule'!$J$2:$J$500))+SUMPRODUCT(--('Week 2 Schedule'!$G$2:$G$500=$B$28),--('Week 2 Schedule'!$I$2:$I$500=$A36),--('Week 2 Schedule'!$J$2:$J$500&gt;'Week 2 Schedule'!$H$2:$H$500)))+(SUMPRODUCT(--('Week 3 Schedule'!$B$2:$B$500=$A36),--('Week 3 Schedule'!$D$2:$D$500=$B$28),--('Week 3 Schedule'!$C$2:$C$500&gt;'Week 3 Schedule'!$E$2:$E$500))+SUMPRODUCT(--('Week 3 Schedule'!$B$2:$B$500=$B$28),--('Week 3 Schedule'!$D$2:$D$500=$A36),--('Week 3 Schedule'!$E$2:$E$500&gt;'Week 3 Schedule'!$C$2:$C$500)))+(SUMPRODUCT(--('Week 3 Schedule'!$G$2:$G$500=$A36),--('Week 3 Schedule'!$I$2:$I$500=$B$28),--('Week 3 Schedule'!$H$2:$H$500&gt;'Week 3 Schedule'!$J$2:$J$500))+SUMPRODUCT(--('Week 3 Schedule'!$G$2:$G$500=$B$28),--('Week 3 Schedule'!$I$2:$I$500=$A36),--('Week 3 Schedule'!$J$2:$J$500&gt;'Week 3 Schedule'!$H$2:$H$500)))+(SUMPRODUCT(--('Week 4 Schedule'!$B$2:$B$500=$A36),--('Week 4 Schedule'!$D$2:$D$500=$B$28),--('Week 4 Schedule'!$C$2:$C$500&gt;'Week 4 Schedule'!$E$2:$E$500))+SUMPRODUCT(--('Week 4 Schedule'!$B$2:$B$500=$B$28),--('Week 4 Schedule'!$D$2:$D$500=$A36),--('Week 4 Schedule'!$E$2:$E$500&gt;'Week 4 Schedule'!$C$2:$C$500)))+(SUMPRODUCT(--('Week 4 Schedule'!$G$2:$G$500=$A36),--('Week 4 Schedule'!$I$2:$I$500=$B$28),--('Week 4 Schedule'!$H$2:$H$500&gt;'Week 4 Schedule'!$J$2:$J$500))+SUMPRODUCT(--('Week 4 Schedule'!$G$2:$G$500=$B$28),--('Week 4 Schedule'!$I$2:$I$500=$A36),--('Week 4 Schedule'!$J$2:$J$500&gt;'Week 4 Schedule'!$H$2:$H$500)))+(SUMPRODUCT(--('Week 5 Schedule'!$B$2:$B$500=$A36),--('Week 5 Schedule'!$D$2:$D$500=$B$28),--('Week 5 Schedule'!$C$2:$C$500&gt;'Week 5 Schedule'!$E$2:$E$500))+SUMPRODUCT(--('Week 5 Schedule'!$B$2:$B$500=$B$28),--('Week 5 Schedule'!$D$2:$D$500=$A36),--('Week 5 Schedule'!$E$2:$E$500&gt;'Week 5 Schedule'!$C$2:$C$500)))+(SUMPRODUCT(--('Week 5 Schedule'!$G$2:$G$500=$A36),--('Week 5 Schedule'!$I$2:$I$500=$B$28),--('Week 5 Schedule'!$H$2:$H$500&gt;'Week 5 Schedule'!$J$2:$J$500))+SUMPRODUCT(--('Week 5 Schedule'!$G$2:$G$500=$B$28),--('Week 5 Schedule'!$I$2:$I$500=$A36),--('Week 5 Schedule'!$J$2:$J$500&gt;'Week 5 Schedule'!$H$2:$H$500)))+(SUMPRODUCT(--('Week 6 Schedule'!$B$2:$B$500=$A36),--('Week 6 Schedule'!$D$2:$D$500=$B$28),--('Week 6 Schedule'!$C$2:$C$500&gt;'Week 6 Schedule'!$E$2:$E$500))+SUMPRODUCT(--('Week 6 Schedule'!$B$2:$B$500=$B$28),--('Week 6 Schedule'!$D$2:$D$500=$A36),--('Week 6 Schedule'!$E$2:$E$500&gt;'Week 6 Schedule'!$C$2:$C$500)))+(SUMPRODUCT(--('Week 6 Schedule'!$G$2:$G$500=$A36),--('Week 6 Schedule'!$I$2:$I$500=$B$28),--('Week 6 Schedule'!$H$2:$H$500&gt;'Week 6 Schedule'!$J$2:$J$500))+SUMPRODUCT(--('Week 6 Schedule'!$G$2:$G$500=$B$28),--('Week 6 Schedule'!$I$2:$I$500=$A36),--('Week 6 Schedule'!$J$2:$J$500&gt;'Week 6 Schedule'!$H$2:$H$500)))</f>
        <v>#REF!</v>
      </c>
      <c r="C36" t="str">
        <f>(SUMPRODUCT(--('Week 1 Schedule'!$B$2:$B$500=$A36),--('Week 1 Schedule'!$D$2:$D$500=$C$28),--('Week 1 Schedule'!$C$2:$C$500&gt;'Week 1 Schedule'!$E$2:$E$500))+SUMPRODUCT(--('Week 1 Schedule'!$B$2:$B$500=$C$28),--('Week 1 Schedule'!$D$2:$D$500=$A36),--('Week 1 Schedule'!$E$2:$E$500&gt;'Week 1 Schedule'!$C$2:$C$500)))+(SUMPRODUCT(--('Week 1 Schedule'!$G$2:$G$500=$A36),--('Week 1 Schedule'!$I$2:$I$500=$C$28),--('Week 1 Schedule'!$H$2:$H$500&gt;'Week 1 Schedule'!$J$2:$J$500))+SUMPRODUCT(--('Week 1 Schedule'!$G$2:$G$500=$C$28),--('Week 1 Schedule'!$I$2:$I$500=$A36),--('Week 1 Schedule'!$J$2:$J$500&gt;'Week 1 Schedule'!$H$2:$H$500)))+(SUMPRODUCT(--('Week 2 Schedule'!$B$2:$B$500=$A36),--('Week 2 Schedule'!$D$2:$D$500=$C$28),--('Week 2 Schedule'!$C$2:$C$500&gt;'Week 2 Schedule'!$E$2:$E$500))+SUMPRODUCT(--('Week 2 Schedule'!$B$2:$B$500=$C$28),--('Week 2 Schedule'!$D$2:$D$500=$A36),--('Week 2 Schedule'!$E$2:$E$500&gt;'Week 2 Schedule'!$C$2:$C$500)))+(SUMPRODUCT(--('Week 2 Schedule'!$G$2:$G$500=$A36),--('Week 2 Schedule'!$I$2:$I$500=$C$28),--('Week 2 Schedule'!$H$2:$H$500&gt;'Week 2 Schedule'!$J$2:$J$500))+SUMPRODUCT(--('Week 2 Schedule'!$G$2:$G$500=$C$28),--('Week 2 Schedule'!$I$2:$I$500=$A36),--('Week 2 Schedule'!$J$2:$J$500&gt;'Week 2 Schedule'!$H$2:$H$500)))+(SUMPRODUCT(--('Week 3 Schedule'!$B$2:$B$500=$A36),--('Week 3 Schedule'!$D$2:$D$500=$C$28),--('Week 3 Schedule'!$C$2:$C$500&gt;'Week 3 Schedule'!$E$2:$E$500))+SUMPRODUCT(--('Week 3 Schedule'!$B$2:$B$500=$C$28),--('Week 3 Schedule'!$D$2:$D$500=$A36),--('Week 3 Schedule'!$E$2:$E$500&gt;'Week 3 Schedule'!$C$2:$C$500)))+(SUMPRODUCT(--('Week 3 Schedule'!$G$2:$G$500=$A36),--('Week 3 Schedule'!$I$2:$I$500=$C$28),--('Week 3 Schedule'!$H$2:$H$500&gt;'Week 3 Schedule'!$J$2:$J$500))+SUMPRODUCT(--('Week 3 Schedule'!$G$2:$G$500=$C$28),--('Week 3 Schedule'!$I$2:$I$500=$A36),--('Week 3 Schedule'!$J$2:$J$500&gt;'Week 3 Schedule'!$H$2:$H$500)))+(SUMPRODUCT(--('Week 4 Schedule'!$B$2:$B$500=$A36),--('Week 4 Schedule'!$D$2:$D$500=$C$28),--('Week 4 Schedule'!$C$2:$C$500&gt;'Week 4 Schedule'!$E$2:$E$500))+SUMPRODUCT(--('Week 4 Schedule'!$B$2:$B$500=$C$28),--('Week 4 Schedule'!$D$2:$D$500=$A36),--('Week 4 Schedule'!$E$2:$E$500&gt;'Week 4 Schedule'!$C$2:$C$500)))+(SUMPRODUCT(--('Week 4 Schedule'!$G$2:$G$500=$A36),--('Week 4 Schedule'!$I$2:$I$500=$C$28),--('Week 4 Schedule'!$H$2:$H$500&gt;'Week 4 Schedule'!$J$2:$J$500))+SUMPRODUCT(--('Week 4 Schedule'!$G$2:$G$500=$C$28),--('Week 4 Schedule'!$I$2:$I$500=$A36),--('Week 4 Schedule'!$J$2:$J$500&gt;'Week 4 Schedule'!$H$2:$H$500)))+(SUMPRODUCT(--('Week 5 Schedule'!$B$2:$B$500=$A36),--('Week 5 Schedule'!$D$2:$D$500=$C$28),--('Week 5 Schedule'!$C$2:$C$500&gt;'Week 5 Schedule'!$E$2:$E$500))+SUMPRODUCT(--('Week 5 Schedule'!$B$2:$B$500=$C$28),--('Week 5 Schedule'!$D$2:$D$500=$A36),--('Week 5 Schedule'!$E$2:$E$500&gt;'Week 5 Schedule'!$C$2:$C$500)))+(SUMPRODUCT(--('Week 5 Schedule'!$G$2:$G$500=$A36),--('Week 5 Schedule'!$I$2:$I$500=$C$28),--('Week 5 Schedule'!$H$2:$H$500&gt;'Week 5 Schedule'!$J$2:$J$500))+SUMPRODUCT(--('Week 5 Schedule'!$G$2:$G$500=$C$28),--('Week 5 Schedule'!$I$2:$I$500=$A36),--('Week 5 Schedule'!$J$2:$J$500&gt;'Week 5 Schedule'!$H$2:$H$500)))+(SUMPRODUCT(--('Week 6 Schedule'!$B$2:$B$500=$A36),--('Week 6 Schedule'!$D$2:$D$500=$C$28),--('Week 6 Schedule'!$C$2:$C$500&gt;'Week 6 Schedule'!$E$2:$E$500))+SUMPRODUCT(--('Week 6 Schedule'!$B$2:$B$500=$C$28),--('Week 6 Schedule'!$D$2:$D$500=$A36),--('Week 6 Schedule'!$E$2:$E$500&gt;'Week 6 Schedule'!$C$2:$C$500)))+(SUMPRODUCT(--('Week 6 Schedule'!$G$2:$G$500=$A36),--('Week 6 Schedule'!$I$2:$I$500=$C$28),--('Week 6 Schedule'!$H$2:$H$500&gt;'Week 6 Schedule'!$J$2:$J$500))+SUMPRODUCT(--('Week 6 Schedule'!$G$2:$G$500=$C$28),--('Week 6 Schedule'!$I$2:$I$500=$A36),--('Week 6 Schedule'!$J$2:$J$500&gt;'Week 6 Schedule'!$H$2:$H$500)))</f>
        <v>#REF!</v>
      </c>
      <c r="D36" t="str">
        <f>(SUMPRODUCT(--('Week 1 Schedule'!$B$2:$B$500=$A36),--('Week 1 Schedule'!$D$2:$D$500=$D$28),--('Week 1 Schedule'!$C$2:$C$500&gt;'Week 1 Schedule'!$E$2:$E$500))+SUMPRODUCT(--('Week 1 Schedule'!$B$2:$B$500=$D$28),--('Week 1 Schedule'!$D$2:$D$500=$A36),--('Week 1 Schedule'!$E$2:$E$500&gt;'Week 1 Schedule'!$C$2:$C$500)))+(SUMPRODUCT(--('Week 1 Schedule'!$G$2:$G$500=$A36),--('Week 1 Schedule'!$I$2:$I$500=$D$28),--('Week 1 Schedule'!$H$2:$H$500&gt;'Week 1 Schedule'!$J$2:$J$500))+SUMPRODUCT(--('Week 1 Schedule'!$G$2:$G$500=$D$28),--('Week 1 Schedule'!$I$2:$I$500=$A36),--('Week 1 Schedule'!$J$2:$J$500&gt;'Week 1 Schedule'!$H$2:$H$500)))+(SUMPRODUCT(--('Week 2 Schedule'!$B$2:$B$500=$A36),--('Week 2 Schedule'!$D$2:$D$500=$D$28),--('Week 2 Schedule'!$C$2:$C$500&gt;'Week 2 Schedule'!$E$2:$E$500))+SUMPRODUCT(--('Week 2 Schedule'!$B$2:$B$500=$D$28),--('Week 2 Schedule'!$D$2:$D$500=$A36),--('Week 2 Schedule'!$E$2:$E$500&gt;'Week 2 Schedule'!$C$2:$C$500)))+(SUMPRODUCT(--('Week 2 Schedule'!$G$2:$G$500=$A36),--('Week 2 Schedule'!$I$2:$I$500=$D$28),--('Week 2 Schedule'!$H$2:$H$500&gt;'Week 2 Schedule'!$J$2:$J$500))+SUMPRODUCT(--('Week 2 Schedule'!$G$2:$G$500=$D$28),--('Week 2 Schedule'!$I$2:$I$500=$A36),--('Week 2 Schedule'!$J$2:$J$500&gt;'Week 2 Schedule'!$H$2:$H$500)))+(SUMPRODUCT(--('Week 3 Schedule'!$B$2:$B$500=$A36),--('Week 3 Schedule'!$D$2:$D$500=$D$28),--('Week 3 Schedule'!$C$2:$C$500&gt;'Week 3 Schedule'!$E$2:$E$500))+SUMPRODUCT(--('Week 3 Schedule'!$B$2:$B$500=$D$28),--('Week 3 Schedule'!$D$2:$D$500=$A36),--('Week 3 Schedule'!$E$2:$E$500&gt;'Week 3 Schedule'!$C$2:$C$500)))+(SUMPRODUCT(--('Week 3 Schedule'!$G$2:$G$500=$A36),--('Week 3 Schedule'!$I$2:$I$500=$D$28),--('Week 3 Schedule'!$H$2:$H$500&gt;'Week 3 Schedule'!$J$2:$J$500))+SUMPRODUCT(--('Week 3 Schedule'!$G$2:$G$500=$D$28),--('Week 3 Schedule'!$I$2:$I$500=$A36),--('Week 3 Schedule'!$J$2:$J$500&gt;'Week 3 Schedule'!$H$2:$H$500)))+(SUMPRODUCT(--('Week 4 Schedule'!$B$2:$B$500=$A36),--('Week 4 Schedule'!$D$2:$D$500=$D$28),--('Week 4 Schedule'!$C$2:$C$500&gt;'Week 4 Schedule'!$E$2:$E$500))+SUMPRODUCT(--('Week 4 Schedule'!$B$2:$B$500=$D$28),--('Week 4 Schedule'!$D$2:$D$500=$A36),--('Week 4 Schedule'!$E$2:$E$500&gt;'Week 4 Schedule'!$C$2:$C$500)))+(SUMPRODUCT(--('Week 4 Schedule'!$G$2:$G$500=$A36),--('Week 4 Schedule'!$I$2:$I$500=$D$28),--('Week 4 Schedule'!$H$2:$H$500&gt;'Week 4 Schedule'!$J$2:$J$500))+SUMPRODUCT(--('Week 4 Schedule'!$G$2:$G$500=$D$28),--('Week 4 Schedule'!$I$2:$I$500=$A36),--('Week 4 Schedule'!$J$2:$J$500&gt;'Week 4 Schedule'!$H$2:$H$500)))+(SUMPRODUCT(--('Week 5 Schedule'!$B$2:$B$500=$A36),--('Week 5 Schedule'!$D$2:$D$500=$D$28),--('Week 5 Schedule'!$C$2:$C$500&gt;'Week 5 Schedule'!$E$2:$E$500))+SUMPRODUCT(--('Week 5 Schedule'!$B$2:$B$500=$D$28),--('Week 5 Schedule'!$D$2:$D$500=$A36),--('Week 5 Schedule'!$E$2:$E$500&gt;'Week 5 Schedule'!$C$2:$C$500)))+(SUMPRODUCT(--('Week 5 Schedule'!$G$2:$G$500=$A36),--('Week 5 Schedule'!$I$2:$I$500=$D$28),--('Week 5 Schedule'!$H$2:$H$500&gt;'Week 5 Schedule'!$J$2:$J$500))+SUMPRODUCT(--('Week 5 Schedule'!$G$2:$G$500=$D$28),--('Week 5 Schedule'!$I$2:$I$500=$A36),--('Week 5 Schedule'!$J$2:$J$500&gt;'Week 5 Schedule'!$H$2:$H$500)))+(SUMPRODUCT(--('Week 6 Schedule'!$B$2:$B$500=$A36),--('Week 6 Schedule'!$D$2:$D$500=$D$28),--('Week 6 Schedule'!$C$2:$C$500&gt;'Week 6 Schedule'!$E$2:$E$500))+SUMPRODUCT(--('Week 6 Schedule'!$B$2:$B$500=$D$28),--('Week 6 Schedule'!$D$2:$D$500=$A36),--('Week 6 Schedule'!$E$2:$E$500&gt;'Week 6 Schedule'!$C$2:$C$500)))+(SUMPRODUCT(--('Week 6 Schedule'!$G$2:$G$500=$A36),--('Week 6 Schedule'!$I$2:$I$500=$D$28),--('Week 6 Schedule'!$H$2:$H$500&gt;'Week 6 Schedule'!$J$2:$J$500))+SUMPRODUCT(--('Week 6 Schedule'!$G$2:$G$500=$D$28),--('Week 6 Schedule'!$I$2:$I$500=$A36),--('Week 6 Schedule'!$J$2:$J$500&gt;'Week 6 Schedule'!$H$2:$H$500)))</f>
        <v>#REF!</v>
      </c>
      <c r="E36" t="str">
        <f>(SUMPRODUCT(--('Week 1 Schedule'!$B$2:$B$500=$A36),--('Week 1 Schedule'!$D$2:$D$500=$E$28),--('Week 1 Schedule'!$C$2:$C$500&gt;'Week 1 Schedule'!$E$2:$E$500))+SUMPRODUCT(--('Week 1 Schedule'!$B$2:$B$500=$E$28),--('Week 1 Schedule'!$D$2:$D$500=$A36),--('Week 1 Schedule'!$E$2:$E$500&gt;'Week 1 Schedule'!$C$2:$C$500)))+(SUMPRODUCT(--('Week 1 Schedule'!$G$2:$G$500=$A36),--('Week 1 Schedule'!$I$2:$I$500=$E$28),--('Week 1 Schedule'!$H$2:$H$500&gt;'Week 1 Schedule'!$J$2:$J$500))+SUMPRODUCT(--('Week 1 Schedule'!$G$2:$G$500=$E$28),--('Week 1 Schedule'!$I$2:$I$500=$A36),--('Week 1 Schedule'!$J$2:$J$500&gt;'Week 1 Schedule'!$H$2:$H$500)))+(SUMPRODUCT(--('Week 2 Schedule'!$B$2:$B$500=$A36),--('Week 2 Schedule'!$D$2:$D$500=$E$28),--('Week 2 Schedule'!$C$2:$C$500&gt;'Week 2 Schedule'!$E$2:$E$500))+SUMPRODUCT(--('Week 2 Schedule'!$B$2:$B$500=$E$28),--('Week 2 Schedule'!$D$2:$D$500=$A36),--('Week 2 Schedule'!$E$2:$E$500&gt;'Week 2 Schedule'!$C$2:$C$500)))+(SUMPRODUCT(--('Week 2 Schedule'!$G$2:$G$500=$A36),--('Week 2 Schedule'!$I$2:$I$500=$E$28),--('Week 2 Schedule'!$H$2:$H$500&gt;'Week 2 Schedule'!$J$2:$J$500))+SUMPRODUCT(--('Week 2 Schedule'!$G$2:$G$500=$E$28),--('Week 2 Schedule'!$I$2:$I$500=$A36),--('Week 2 Schedule'!$J$2:$J$500&gt;'Week 2 Schedule'!$H$2:$H$500)))+(SUMPRODUCT(--('Week 3 Schedule'!$B$2:$B$500=$A36),--('Week 3 Schedule'!$D$2:$D$500=$E$28),--('Week 3 Schedule'!$C$2:$C$500&gt;'Week 3 Schedule'!$E$2:$E$500))+SUMPRODUCT(--('Week 3 Schedule'!$B$2:$B$500=$E$28),--('Week 3 Schedule'!$D$2:$D$500=$A36),--('Week 3 Schedule'!$E$2:$E$500&gt;'Week 3 Schedule'!$C$2:$C$500)))+(SUMPRODUCT(--('Week 3 Schedule'!$G$2:$G$500=$A36),--('Week 3 Schedule'!$I$2:$I$500=$E$28),--('Week 3 Schedule'!$H$2:$H$500&gt;'Week 3 Schedule'!$J$2:$J$500))+SUMPRODUCT(--('Week 3 Schedule'!$G$2:$G$500=$E$28),--('Week 3 Schedule'!$I$2:$I$500=$A36),--('Week 3 Schedule'!$J$2:$J$500&gt;'Week 3 Schedule'!$H$2:$H$500)))+(SUMPRODUCT(--('Week 4 Schedule'!$B$2:$B$500=$A36),--('Week 4 Schedule'!$D$2:$D$500=$E$28),--('Week 4 Schedule'!$C$2:$C$500&gt;'Week 4 Schedule'!$E$2:$E$500))+SUMPRODUCT(--('Week 4 Schedule'!$B$2:$B$500=$E$28),--('Week 4 Schedule'!$D$2:$D$500=$A36),--('Week 4 Schedule'!$E$2:$E$500&gt;'Week 4 Schedule'!$C$2:$C$500)))+(SUMPRODUCT(--('Week 4 Schedule'!$G$2:$G$500=$A36),--('Week 4 Schedule'!$I$2:$I$500=$E$28),--('Week 4 Schedule'!$H$2:$H$500&gt;'Week 4 Schedule'!$J$2:$J$500))+SUMPRODUCT(--('Week 4 Schedule'!$G$2:$G$500=$E$28),--('Week 4 Schedule'!$I$2:$I$500=$A36),--('Week 4 Schedule'!$J$2:$J$500&gt;'Week 4 Schedule'!$H$2:$H$500)))+(SUMPRODUCT(--('Week 5 Schedule'!$B$2:$B$500=$A36),--('Week 5 Schedule'!$D$2:$D$500=$E$28),--('Week 5 Schedule'!$C$2:$C$500&gt;'Week 5 Schedule'!$E$2:$E$500))+SUMPRODUCT(--('Week 5 Schedule'!$B$2:$B$500=$E$28),--('Week 5 Schedule'!$D$2:$D$500=$A36),--('Week 5 Schedule'!$E$2:$E$500&gt;'Week 5 Schedule'!$C$2:$C$500)))+(SUMPRODUCT(--('Week 5 Schedule'!$G$2:$G$500=$A36),--('Week 5 Schedule'!$I$2:$I$500=$E$28),--('Week 5 Schedule'!$H$2:$H$500&gt;'Week 5 Schedule'!$J$2:$J$500))+SUMPRODUCT(--('Week 5 Schedule'!$G$2:$G$500=$E$28),--('Week 5 Schedule'!$I$2:$I$500=$A36),--('Week 5 Schedule'!$J$2:$J$500&gt;'Week 5 Schedule'!$H$2:$H$500)))+(SUMPRODUCT(--('Week 6 Schedule'!$B$2:$B$500=$A36),--('Week 6 Schedule'!$D$2:$D$500=$E$28),--('Week 6 Schedule'!$C$2:$C$500&gt;'Week 6 Schedule'!$E$2:$E$500))+SUMPRODUCT(--('Week 6 Schedule'!$B$2:$B$500=$E$28),--('Week 6 Schedule'!$D$2:$D$500=$A36),--('Week 6 Schedule'!$E$2:$E$500&gt;'Week 6 Schedule'!$C$2:$C$500)))+(SUMPRODUCT(--('Week 6 Schedule'!$G$2:$G$500=$A36),--('Week 6 Schedule'!$I$2:$I$500=$E$28),--('Week 6 Schedule'!$H$2:$H$500&gt;'Week 6 Schedule'!$J$2:$J$500))+SUMPRODUCT(--('Week 6 Schedule'!$G$2:$G$500=$E$28),--('Week 6 Schedule'!$I$2:$I$500=$A36),--('Week 6 Schedule'!$J$2:$J$500&gt;'Week 6 Schedule'!$H$2:$H$500)))</f>
        <v>#REF!</v>
      </c>
      <c r="F36" t="str">
        <f>(SUMPRODUCT(--('Week 1 Schedule'!$B$2:$B$500=$A36),--('Week 1 Schedule'!$D$2:$D$500=$F$28),--('Week 1 Schedule'!$C$2:$C$500&gt;'Week 1 Schedule'!$E$2:$E$500))+SUMPRODUCT(--('Week 1 Schedule'!$B$2:$B$500=$F$28),--('Week 1 Schedule'!$D$2:$D$500=$A36),--('Week 1 Schedule'!$E$2:$E$500&gt;'Week 1 Schedule'!$C$2:$C$500)))+(SUMPRODUCT(--('Week 1 Schedule'!$G$2:$G$500=$A36),--('Week 1 Schedule'!$I$2:$I$500=$F$28),--('Week 1 Schedule'!$H$2:$H$500&gt;'Week 1 Schedule'!$J$2:$J$500))+SUMPRODUCT(--('Week 1 Schedule'!$G$2:$G$500=$F$28),--('Week 1 Schedule'!$I$2:$I$500=$A36),--('Week 1 Schedule'!$J$2:$J$500&gt;'Week 1 Schedule'!$H$2:$H$500)))+(SUMPRODUCT(--('Week 2 Schedule'!$B$2:$B$500=$A36),--('Week 2 Schedule'!$D$2:$D$500=$F$28),--('Week 2 Schedule'!$C$2:$C$500&gt;'Week 2 Schedule'!$E$2:$E$500))+SUMPRODUCT(--('Week 2 Schedule'!$B$2:$B$500=$F$28),--('Week 2 Schedule'!$D$2:$D$500=$A36),--('Week 2 Schedule'!$E$2:$E$500&gt;'Week 2 Schedule'!$C$2:$C$500)))+(SUMPRODUCT(--('Week 2 Schedule'!$G$2:$G$500=$A36),--('Week 2 Schedule'!$I$2:$I$500=$F$28),--('Week 2 Schedule'!$H$2:$H$500&gt;'Week 2 Schedule'!$J$2:$J$500))+SUMPRODUCT(--('Week 2 Schedule'!$G$2:$G$500=$F$28),--('Week 2 Schedule'!$I$2:$I$500=$A36),--('Week 2 Schedule'!$J$2:$J$500&gt;'Week 2 Schedule'!$H$2:$H$500)))+(SUMPRODUCT(--('Week 3 Schedule'!$B$2:$B$500=$A36),--('Week 3 Schedule'!$D$2:$D$500=$F$28),--('Week 3 Schedule'!$C$2:$C$500&gt;'Week 3 Schedule'!$E$2:$E$500))+SUMPRODUCT(--('Week 3 Schedule'!$B$2:$B$500=$F$28),--('Week 3 Schedule'!$D$2:$D$500=$A36),--('Week 3 Schedule'!$E$2:$E$500&gt;'Week 3 Schedule'!$C$2:$C$500)))+(SUMPRODUCT(--('Week 3 Schedule'!$G$2:$G$500=$A36),--('Week 3 Schedule'!$I$2:$I$500=$F$28),--('Week 3 Schedule'!$H$2:$H$500&gt;'Week 3 Schedule'!$J$2:$J$500))+SUMPRODUCT(--('Week 3 Schedule'!$G$2:$G$500=$F$28),--('Week 3 Schedule'!$I$2:$I$500=$A36),--('Week 3 Schedule'!$J$2:$J$500&gt;'Week 3 Schedule'!$H$2:$H$500)))+(SUMPRODUCT(--('Week 4 Schedule'!$B$2:$B$500=$A36),--('Week 4 Schedule'!$D$2:$D$500=$F$28),--('Week 4 Schedule'!$C$2:$C$500&gt;'Week 4 Schedule'!$E$2:$E$500))+SUMPRODUCT(--('Week 4 Schedule'!$B$2:$B$500=$F$28),--('Week 4 Schedule'!$D$2:$D$500=$A36),--('Week 4 Schedule'!$E$2:$E$500&gt;'Week 4 Schedule'!$C$2:$C$500)))+(SUMPRODUCT(--('Week 4 Schedule'!$G$2:$G$500=$A36),--('Week 4 Schedule'!$I$2:$I$500=$F$28),--('Week 4 Schedule'!$H$2:$H$500&gt;'Week 4 Schedule'!$J$2:$J$500))+SUMPRODUCT(--('Week 4 Schedule'!$G$2:$G$500=$F$28),--('Week 4 Schedule'!$I$2:$I$500=$A36),--('Week 4 Schedule'!$J$2:$J$500&gt;'Week 4 Schedule'!$H$2:$H$500)))+(SUMPRODUCT(--('Week 5 Schedule'!$B$2:$B$500=$A36),--('Week 5 Schedule'!$D$2:$D$500=$F$28),--('Week 5 Schedule'!$C$2:$C$500&gt;'Week 5 Schedule'!$E$2:$E$500))+SUMPRODUCT(--('Week 5 Schedule'!$B$2:$B$500=$F$28),--('Week 5 Schedule'!$D$2:$D$500=$A36),--('Week 5 Schedule'!$E$2:$E$500&gt;'Week 5 Schedule'!$C$2:$C$500)))+(SUMPRODUCT(--('Week 5 Schedule'!$G$2:$G$500=$A36),--('Week 5 Schedule'!$I$2:$I$500=$F$28),--('Week 5 Schedule'!$H$2:$H$500&gt;'Week 5 Schedule'!$J$2:$J$500))+SUMPRODUCT(--('Week 5 Schedule'!$G$2:$G$500=$F$28),--('Week 5 Schedule'!$I$2:$I$500=$A36),--('Week 5 Schedule'!$J$2:$J$500&gt;'Week 5 Schedule'!$H$2:$H$500)))+(SUMPRODUCT(--('Week 6 Schedule'!$B$2:$B$500=$A36),--('Week 6 Schedule'!$D$2:$D$500=$F$28),--('Week 6 Schedule'!$C$2:$C$500&gt;'Week 6 Schedule'!$E$2:$E$500))+SUMPRODUCT(--('Week 6 Schedule'!$B$2:$B$500=$F$28),--('Week 6 Schedule'!$D$2:$D$500=$A36),--('Week 6 Schedule'!$E$2:$E$500&gt;'Week 6 Schedule'!$C$2:$C$500)))+(SUMPRODUCT(--('Week 6 Schedule'!$G$2:$G$500=$A36),--('Week 6 Schedule'!$I$2:$I$500=$F$28),--('Week 6 Schedule'!$H$2:$H$500&gt;'Week 6 Schedule'!$J$2:$J$500))+SUMPRODUCT(--('Week 6 Schedule'!$G$2:$G$500=$F$28),--('Week 6 Schedule'!$I$2:$I$500=$A36),--('Week 6 Schedule'!$J$2:$J$500&gt;'Week 6 Schedule'!$H$2:$H$500)))</f>
        <v>#REF!</v>
      </c>
      <c r="G36" t="str">
        <f>(SUMPRODUCT(--('Week 1 Schedule'!$B$2:$B$500=$A36),--('Week 1 Schedule'!$D$2:$D$500=$G$28),--('Week 1 Schedule'!$C$2:$C$500&gt;'Week 1 Schedule'!$E$2:$E$500))+SUMPRODUCT(--('Week 1 Schedule'!$B$2:$B$500=$G$28),--('Week 1 Schedule'!$D$2:$D$500=$A36),--('Week 1 Schedule'!$E$2:$E$500&gt;'Week 1 Schedule'!$C$2:$C$500)))+(SUMPRODUCT(--('Week 1 Schedule'!$G$2:$G$500=$A36),--('Week 1 Schedule'!$I$2:$I$500=$G$28),--('Week 1 Schedule'!$H$2:$H$500&gt;'Week 1 Schedule'!$J$2:$J$500))+SUMPRODUCT(--('Week 1 Schedule'!$G$2:$G$500=$G$28),--('Week 1 Schedule'!$I$2:$I$500=$A36),--('Week 1 Schedule'!$J$2:$J$500&gt;'Week 1 Schedule'!$H$2:$H$500)))+(SUMPRODUCT(--('Week 2 Schedule'!$B$2:$B$500=$A36),--('Week 2 Schedule'!$D$2:$D$500=$G$28),--('Week 2 Schedule'!$C$2:$C$500&gt;'Week 2 Schedule'!$E$2:$E$500))+SUMPRODUCT(--('Week 2 Schedule'!$B$2:$B$500=$G$28),--('Week 2 Schedule'!$D$2:$D$500=$A36),--('Week 2 Schedule'!$E$2:$E$500&gt;'Week 2 Schedule'!$C$2:$C$500)))+(SUMPRODUCT(--('Week 2 Schedule'!$G$2:$G$500=$A36),--('Week 2 Schedule'!$I$2:$I$500=$G$28),--('Week 2 Schedule'!$H$2:$H$500&gt;'Week 2 Schedule'!$J$2:$J$500))+SUMPRODUCT(--('Week 2 Schedule'!$G$2:$G$500=$G$28),--('Week 2 Schedule'!$I$2:$I$500=$A36),--('Week 2 Schedule'!$J$2:$J$500&gt;'Week 2 Schedule'!$H$2:$H$500)))+(SUMPRODUCT(--('Week 3 Schedule'!$B$2:$B$500=$A36),--('Week 3 Schedule'!$D$2:$D$500=$G$28),--('Week 3 Schedule'!$C$2:$C$500&gt;'Week 3 Schedule'!$E$2:$E$500))+SUMPRODUCT(--('Week 3 Schedule'!$B$2:$B$500=$G$28),--('Week 3 Schedule'!$D$2:$D$500=$A36),--('Week 3 Schedule'!$E$2:$E$500&gt;'Week 3 Schedule'!$C$2:$C$500)))+(SUMPRODUCT(--('Week 3 Schedule'!$G$2:$G$500=$A36),--('Week 3 Schedule'!$I$2:$I$500=$G$28),--('Week 3 Schedule'!$H$2:$H$500&gt;'Week 3 Schedule'!$J$2:$J$500))+SUMPRODUCT(--('Week 3 Schedule'!$G$2:$G$500=$G$28),--('Week 3 Schedule'!$I$2:$I$500=$A36),--('Week 3 Schedule'!$J$2:$J$500&gt;'Week 3 Schedule'!$H$2:$H$500)))+(SUMPRODUCT(--('Week 4 Schedule'!$B$2:$B$500=$A36),--('Week 4 Schedule'!$D$2:$D$500=$G$28),--('Week 4 Schedule'!$C$2:$C$500&gt;'Week 4 Schedule'!$E$2:$E$500))+SUMPRODUCT(--('Week 4 Schedule'!$B$2:$B$500=$G$28),--('Week 4 Schedule'!$D$2:$D$500=$A36),--('Week 4 Schedule'!$E$2:$E$500&gt;'Week 4 Schedule'!$C$2:$C$500)))+(SUMPRODUCT(--('Week 4 Schedule'!$G$2:$G$500=$A36),--('Week 4 Schedule'!$I$2:$I$500=$G$28),--('Week 4 Schedule'!$H$2:$H$500&gt;'Week 4 Schedule'!$J$2:$J$500))+SUMPRODUCT(--('Week 4 Schedule'!$G$2:$G$500=$G$28),--('Week 4 Schedule'!$I$2:$I$500=$A36),--('Week 4 Schedule'!$J$2:$J$500&gt;'Week 4 Schedule'!$H$2:$H$500)))+(SUMPRODUCT(--('Week 5 Schedule'!$B$2:$B$500=$A36),--('Week 5 Schedule'!$D$2:$D$500=$G$28),--('Week 5 Schedule'!$C$2:$C$500&gt;'Week 5 Schedule'!$E$2:$E$500))+SUMPRODUCT(--('Week 5 Schedule'!$B$2:$B$500=$G$28),--('Week 5 Schedule'!$D$2:$D$500=$A36),--('Week 5 Schedule'!$E$2:$E$500&gt;'Week 5 Schedule'!$C$2:$C$500)))+(SUMPRODUCT(--('Week 5 Schedule'!$G$2:$G$500=$A36),--('Week 5 Schedule'!$I$2:$I$500=$G$28),--('Week 5 Schedule'!$H$2:$H$500&gt;'Week 5 Schedule'!$J$2:$J$500))+SUMPRODUCT(--('Week 5 Schedule'!$G$2:$G$500=$G$28),--('Week 5 Schedule'!$I$2:$I$500=$A36),--('Week 5 Schedule'!$J$2:$J$500&gt;'Week 5 Schedule'!$H$2:$H$500)))+(SUMPRODUCT(--('Week 6 Schedule'!$B$2:$B$500=$A36),--('Week 6 Schedule'!$D$2:$D$500=$G$28),--('Week 6 Schedule'!$C$2:$C$500&gt;'Week 6 Schedule'!$E$2:$E$500))+SUMPRODUCT(--('Week 6 Schedule'!$B$2:$B$500=$G$28),--('Week 6 Schedule'!$D$2:$D$500=$A36),--('Week 6 Schedule'!$E$2:$E$500&gt;'Week 6 Schedule'!$C$2:$C$500)))+(SUMPRODUCT(--('Week 6 Schedule'!$G$2:$G$500=$A36),--('Week 6 Schedule'!$I$2:$I$500=$G$28),--('Week 6 Schedule'!$H$2:$H$500&gt;'Week 6 Schedule'!$J$2:$J$500))+SUMPRODUCT(--('Week 6 Schedule'!$G$2:$G$500=$G$28),--('Week 6 Schedule'!$I$2:$I$500=$A36),--('Week 6 Schedule'!$J$2:$J$500&gt;'Week 6 Schedule'!$H$2:$H$500)))</f>
        <v>#REF!</v>
      </c>
      <c r="H36" t="str">
        <f>(SUMPRODUCT(--('Week 1 Schedule'!$B$2:$B$500=$A36),--('Week 1 Schedule'!$D$2:$D$500=$H$28),--('Week 1 Schedule'!$C$2:$C$500&gt;'Week 1 Schedule'!$E$2:$E$500))+SUMPRODUCT(--('Week 1 Schedule'!$B$2:$B$500=$H$28),--('Week 1 Schedule'!$D$2:$D$500=$A36),--('Week 1 Schedule'!$E$2:$E$500&gt;'Week 1 Schedule'!$C$2:$C$500)))+(SUMPRODUCT(--('Week 1 Schedule'!$G$2:$G$500=$A36),--('Week 1 Schedule'!$I$2:$I$500=$H$28),--('Week 1 Schedule'!$H$2:$H$500&gt;'Week 1 Schedule'!$J$2:$J$500))+SUMPRODUCT(--('Week 1 Schedule'!$G$2:$G$500=$H$28),--('Week 1 Schedule'!$I$2:$I$500=$A36),--('Week 1 Schedule'!$J$2:$J$500&gt;'Week 1 Schedule'!$H$2:$H$500)))+(SUMPRODUCT(--('Week 2 Schedule'!$B$2:$B$500=$A36),--('Week 2 Schedule'!$D$2:$D$500=$H$28),--('Week 2 Schedule'!$C$2:$C$500&gt;'Week 2 Schedule'!$E$2:$E$500))+SUMPRODUCT(--('Week 2 Schedule'!$B$2:$B$500=$H$28),--('Week 2 Schedule'!$D$2:$D$500=$A36),--('Week 2 Schedule'!$E$2:$E$500&gt;'Week 2 Schedule'!$C$2:$C$500)))+(SUMPRODUCT(--('Week 2 Schedule'!$G$2:$G$500=$A36),--('Week 2 Schedule'!$I$2:$I$500=$H$28),--('Week 2 Schedule'!$H$2:$H$500&gt;'Week 2 Schedule'!$J$2:$J$500))+SUMPRODUCT(--('Week 2 Schedule'!$G$2:$G$500=$H$28),--('Week 2 Schedule'!$I$2:$I$500=$A36),--('Week 2 Schedule'!$J$2:$J$500&gt;'Week 2 Schedule'!$H$2:$H$500)))+(SUMPRODUCT(--('Week 3 Schedule'!$B$2:$B$500=$A36),--('Week 3 Schedule'!$D$2:$D$500=$H$28),--('Week 3 Schedule'!$C$2:$C$500&gt;'Week 3 Schedule'!$E$2:$E$500))+SUMPRODUCT(--('Week 3 Schedule'!$B$2:$B$500=$H$28),--('Week 3 Schedule'!$D$2:$D$500=$A36),--('Week 3 Schedule'!$E$2:$E$500&gt;'Week 3 Schedule'!$C$2:$C$500)))+(SUMPRODUCT(--('Week 3 Schedule'!$G$2:$G$500=$A36),--('Week 3 Schedule'!$I$2:$I$500=$H$28),--('Week 3 Schedule'!$H$2:$H$500&gt;'Week 3 Schedule'!$J$2:$J$500))+SUMPRODUCT(--('Week 3 Schedule'!$G$2:$G$500=$H$28),--('Week 3 Schedule'!$I$2:$I$500=$A36),--('Week 3 Schedule'!$J$2:$J$500&gt;'Week 3 Schedule'!$H$2:$H$500)))+(SUMPRODUCT(--('Week 4 Schedule'!$B$2:$B$500=$A36),--('Week 4 Schedule'!$D$2:$D$500=$H$28),--('Week 4 Schedule'!$C$2:$C$500&gt;'Week 4 Schedule'!$E$2:$E$500))+SUMPRODUCT(--('Week 4 Schedule'!$B$2:$B$500=$H$28),--('Week 4 Schedule'!$D$2:$D$500=$A36),--('Week 4 Schedule'!$E$2:$E$500&gt;'Week 4 Schedule'!$C$2:$C$500)))+(SUMPRODUCT(--('Week 4 Schedule'!$G$2:$G$500=$A36),--('Week 4 Schedule'!$I$2:$I$500=$H$28),--('Week 4 Schedule'!$H$2:$H$500&gt;'Week 4 Schedule'!$J$2:$J$500))+SUMPRODUCT(--('Week 4 Schedule'!$G$2:$G$500=$H$28),--('Week 4 Schedule'!$I$2:$I$500=$A36),--('Week 4 Schedule'!$J$2:$J$500&gt;'Week 4 Schedule'!$H$2:$H$500)))+(SUMPRODUCT(--('Week 5 Schedule'!$B$2:$B$500=$A36),--('Week 5 Schedule'!$D$2:$D$500=$H$28),--('Week 5 Schedule'!$C$2:$C$500&gt;'Week 5 Schedule'!$E$2:$E$500))+SUMPRODUCT(--('Week 5 Schedule'!$B$2:$B$500=$H$28),--('Week 5 Schedule'!$D$2:$D$500=$A36),--('Week 5 Schedule'!$E$2:$E$500&gt;'Week 5 Schedule'!$C$2:$C$500)))+(SUMPRODUCT(--('Week 5 Schedule'!$G$2:$G$500=$A36),--('Week 5 Schedule'!$I$2:$I$500=$H$28),--('Week 5 Schedule'!$H$2:$H$500&gt;'Week 5 Schedule'!$J$2:$J$500))+SUMPRODUCT(--('Week 5 Schedule'!$G$2:$G$500=$H$28),--('Week 5 Schedule'!$I$2:$I$500=$A36),--('Week 5 Schedule'!$J$2:$J$500&gt;'Week 5 Schedule'!$H$2:$H$500)))+(SUMPRODUCT(--('Week 6 Schedule'!$B$2:$B$500=$A36),--('Week 6 Schedule'!$D$2:$D$500=$H$28),--('Week 6 Schedule'!$C$2:$C$500&gt;'Week 6 Schedule'!$E$2:$E$500))+SUMPRODUCT(--('Week 6 Schedule'!$B$2:$B$500=$H$28),--('Week 6 Schedule'!$D$2:$D$500=$A36),--('Week 6 Schedule'!$E$2:$E$500&gt;'Week 6 Schedule'!$C$2:$C$500)))+(SUMPRODUCT(--('Week 6 Schedule'!$G$2:$G$500=$A36),--('Week 6 Schedule'!$I$2:$I$500=$H$28),--('Week 6 Schedule'!$H$2:$H$500&gt;'Week 6 Schedule'!$J$2:$J$500))+SUMPRODUCT(--('Week 6 Schedule'!$G$2:$G$500=$H$28),--('Week 6 Schedule'!$I$2:$I$500=$A36),--('Week 6 Schedule'!$J$2:$J$500&gt;'Week 6 Schedule'!$H$2:$H$500)))</f>
        <v>#REF!</v>
      </c>
      <c r="I36" t="str">
        <v>—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B1" t="str">
        <v>Court 1</v>
      </c>
      <c r="G1" t="str">
        <v>Court 2</v>
      </c>
    </row>
    <row r="2">
      <c r="A2" t="str">
        <v>Game 01</v>
      </c>
      <c r="B2" t="str">
        <v>Biker Gang</v>
      </c>
      <c r="D2" t="str">
        <v>Boop Boop</v>
      </c>
      <c r="G2" t="str">
        <v>Most Improved</v>
      </c>
      <c r="I2" t="str">
        <v>Boston T Party</v>
      </c>
    </row>
    <row r="3">
      <c r="B3" t="str">
        <v>Refs: Left Corners</v>
      </c>
      <c r="G3" t="str">
        <v>Refs: Big Bugs</v>
      </c>
      <c r="L3" t="str">
        <v>Off: Free Agents of Chaos, Cash Only</v>
      </c>
    </row>
    <row r="4">
      <c r="A4" t="str">
        <v>Game 02</v>
      </c>
      <c r="B4" t="str">
        <v>Left Corners</v>
      </c>
      <c r="D4" t="str">
        <v>Big Bugs</v>
      </c>
      <c r="G4" t="str">
        <v>Free Agents of Chaos</v>
      </c>
      <c r="I4" t="str">
        <v>Cash Only</v>
      </c>
    </row>
    <row r="5">
      <c r="B5" t="str">
        <v>Refs: Biker Gang</v>
      </c>
      <c r="G5" t="str">
        <v>Refs: Boop Boop</v>
      </c>
      <c r="L5" t="str">
        <v>Off: Most Improved, Boston T Party</v>
      </c>
    </row>
    <row r="6">
      <c r="A6" t="str">
        <v>Game 03</v>
      </c>
      <c r="B6" t="str">
        <v>Boop Boop</v>
      </c>
      <c r="D6" t="str">
        <v>Biker Gang</v>
      </c>
      <c r="G6" t="str">
        <v>Boston T Party</v>
      </c>
      <c r="I6" t="str">
        <v>Most Improved</v>
      </c>
    </row>
    <row r="7">
      <c r="B7" t="str">
        <v>Refs: Free Agents of Chaos</v>
      </c>
      <c r="G7" t="str">
        <v>Refs: Cash Only</v>
      </c>
      <c r="L7" t="str">
        <v>Off: Left Corners, Big Bugs</v>
      </c>
    </row>
    <row r="8">
      <c r="A8" t="str">
        <v>Game 04</v>
      </c>
      <c r="B8" t="str">
        <v>Big Bugs</v>
      </c>
      <c r="D8" t="str">
        <v>Left Corners</v>
      </c>
      <c r="G8" t="str">
        <v>Cash Only</v>
      </c>
      <c r="I8" t="str">
        <v>Free Agents of Chaos</v>
      </c>
    </row>
    <row r="9">
      <c r="B9" t="str">
        <v>Refs: Most Improved</v>
      </c>
      <c r="G9" t="str">
        <v>Refs: Boston T Party</v>
      </c>
      <c r="L9" t="str">
        <v>Off: Biker Gang, Boop Boop</v>
      </c>
    </row>
    <row r="10">
      <c r="A10" t="str">
        <v>Game 05</v>
      </c>
      <c r="B10" t="str">
        <v>Most Improved</v>
      </c>
      <c r="D10" t="str">
        <v>Biker Gang</v>
      </c>
      <c r="G10" t="str">
        <v>Boston T Party</v>
      </c>
      <c r="I10" t="str">
        <v>Boop Boop</v>
      </c>
    </row>
    <row r="11">
      <c r="B11" t="str">
        <v>Refs: Left Corners</v>
      </c>
      <c r="G11" t="str">
        <v>Refs: Big Bugs</v>
      </c>
      <c r="L11" t="str">
        <v>Off: Free Agents of Chaos, Cash Only</v>
      </c>
    </row>
    <row r="12">
      <c r="A12" t="str">
        <v>Game 06</v>
      </c>
      <c r="B12" t="str">
        <v>Free Agents of Chaos</v>
      </c>
      <c r="D12" t="str">
        <v>Left Corners</v>
      </c>
      <c r="G12" t="str">
        <v>Cash Only</v>
      </c>
      <c r="I12" t="str">
        <v>Big Bugs</v>
      </c>
    </row>
    <row r="13">
      <c r="B13" t="str">
        <v>Refs: Biker Gang</v>
      </c>
      <c r="G13" t="str">
        <v>Refs: Boop Boop</v>
      </c>
      <c r="L13" t="str">
        <v>Off: Most Improved, Boston T Party</v>
      </c>
    </row>
    <row r="14">
      <c r="A14" t="str">
        <v>Game 07</v>
      </c>
      <c r="B14" t="str">
        <v>Biker Gang</v>
      </c>
      <c r="D14" t="str">
        <v>Most Improved</v>
      </c>
      <c r="G14" t="str">
        <v>Boop Boop</v>
      </c>
      <c r="I14" t="str">
        <v>Boston T Party</v>
      </c>
    </row>
    <row r="15">
      <c r="B15" t="str">
        <v>Refs: Free Agents of Chaos</v>
      </c>
      <c r="G15" t="str">
        <v>Refs: Cash Only</v>
      </c>
      <c r="L15" t="str">
        <v>Off: Left Corners, Big Bugs</v>
      </c>
    </row>
    <row r="16">
      <c r="A16" t="str">
        <v>Game 08</v>
      </c>
      <c r="B16" t="str">
        <v>Left Corners</v>
      </c>
      <c r="D16" t="str">
        <v>Free Agents of Chaos</v>
      </c>
      <c r="G16" t="str">
        <v>Big Bugs</v>
      </c>
      <c r="I16" t="str">
        <v>Cash Only</v>
      </c>
    </row>
    <row r="17">
      <c r="B17" t="str">
        <v>Refs: Most Improved</v>
      </c>
      <c r="G17" t="str">
        <v>Refs: Boston T Party</v>
      </c>
      <c r="L17" t="str">
        <v>Off: Biker Gang, Boop Boop</v>
      </c>
    </row>
    <row r="18">
      <c r="A18" t="str">
        <v>Game 09</v>
      </c>
      <c r="B18" t="str">
        <v>Biker Gang</v>
      </c>
      <c r="D18" t="str">
        <v>Boston T Party</v>
      </c>
      <c r="G18" t="str">
        <v>Boop Boop</v>
      </c>
      <c r="I18" t="str">
        <v>Most Improved</v>
      </c>
    </row>
    <row r="19">
      <c r="B19" t="str">
        <v>Refs: Left Corners</v>
      </c>
      <c r="G19" t="str">
        <v>Refs: Big Bugs</v>
      </c>
      <c r="L19" t="str">
        <v>Off: Free Agents of Chaos, Cash Only</v>
      </c>
    </row>
    <row r="20">
      <c r="A20" t="str">
        <v>Game 10</v>
      </c>
      <c r="B20" t="str">
        <v>Left Corners</v>
      </c>
      <c r="D20" t="str">
        <v>Cash Only</v>
      </c>
      <c r="G20" t="str">
        <v>Big Bugs</v>
      </c>
      <c r="I20" t="str">
        <v>Free Agents of Chaos</v>
      </c>
    </row>
    <row r="21">
      <c r="B21" t="str">
        <v>Refs: Biker Gang</v>
      </c>
      <c r="G21" t="str">
        <v>Refs: Boop Boop</v>
      </c>
      <c r="L21" t="str">
        <v>Off: Most Improved, Boston T Party</v>
      </c>
    </row>
    <row r="22">
      <c r="A22" t="str">
        <v>Game 11</v>
      </c>
      <c r="B22" t="str">
        <v>Boston T Party</v>
      </c>
      <c r="D22" t="str">
        <v>Biker Gang</v>
      </c>
      <c r="G22" t="str">
        <v>Most Improved</v>
      </c>
      <c r="I22" t="str">
        <v>Boop Boop</v>
      </c>
    </row>
    <row r="23">
      <c r="B23" t="str">
        <v>Refs: Free Agents of Chaos</v>
      </c>
      <c r="G23" t="str">
        <v>Refs: Cash Only</v>
      </c>
      <c r="L23" t="str">
        <v>Off: Left Corners, Big Bugs</v>
      </c>
    </row>
    <row r="24">
      <c r="A24" t="str">
        <v>Game 12</v>
      </c>
      <c r="B24" t="str">
        <v>Cash Only</v>
      </c>
      <c r="D24" t="str">
        <v>Left Corners</v>
      </c>
      <c r="G24" t="str">
        <v>Free Agents of Chaos</v>
      </c>
      <c r="I24" t="str">
        <v>Big Bugs</v>
      </c>
    </row>
    <row r="25">
      <c r="B25" t="str">
        <v>Refs: Most Improved</v>
      </c>
      <c r="G25" t="str">
        <v>Refs: Boston T Party</v>
      </c>
      <c r="L25" t="str">
        <v>Off: Biker Gang, Boop Boop</v>
      </c>
    </row>
    <row r="26">
      <c r="A26" t="str">
        <v>Game 13</v>
      </c>
      <c r="B26" t="str">
        <v>Biker Gang</v>
      </c>
      <c r="D26" t="str">
        <v>Left Corners</v>
      </c>
      <c r="G26" t="str">
        <v>Boop Boop</v>
      </c>
      <c r="I26" t="str">
        <v>Big Bugs</v>
      </c>
    </row>
    <row r="27">
      <c r="B27" t="str">
        <v>Refs: Most Improved</v>
      </c>
      <c r="G27" t="str">
        <v>Refs: Boston T Party</v>
      </c>
      <c r="L27" t="str">
        <v>Off: Free Agents of Chaos, Cash Only</v>
      </c>
    </row>
    <row r="28">
      <c r="A28" t="str">
        <v>Game 14</v>
      </c>
      <c r="B28" t="str">
        <v>Most Improved</v>
      </c>
      <c r="D28" t="str">
        <v>Free Agents of Chaos</v>
      </c>
      <c r="G28" t="str">
        <v>Boston T Party</v>
      </c>
      <c r="I28" t="str">
        <v>Cash Only</v>
      </c>
    </row>
    <row r="29">
      <c r="B29" t="str">
        <v>Refs: Biker Gang</v>
      </c>
      <c r="G29" t="str">
        <v>Refs: Boop Boop</v>
      </c>
      <c r="L29" t="str">
        <v>Off: Left Corners, Big Bugs</v>
      </c>
    </row>
    <row r="30">
      <c r="A30" t="str">
        <v>Game 15</v>
      </c>
      <c r="B30" t="str">
        <v>Big Bugs</v>
      </c>
      <c r="D30" t="str">
        <v>Biker Gang</v>
      </c>
      <c r="G30" t="str">
        <v>Left Corners</v>
      </c>
      <c r="I30" t="str">
        <v>Boop Boop</v>
      </c>
    </row>
    <row r="31">
      <c r="B31" t="str">
        <v>Refs: Free Agents of Chaos</v>
      </c>
      <c r="G31" t="str">
        <v>Refs: Cash Only</v>
      </c>
      <c r="L31" t="str">
        <v>Off: Most Improved, Boston T Party</v>
      </c>
    </row>
    <row r="32">
      <c r="A32" t="str">
        <v>Game 16</v>
      </c>
      <c r="B32" t="str">
        <v>Cash Only</v>
      </c>
      <c r="D32" t="str">
        <v>Most Improved</v>
      </c>
      <c r="G32" t="str">
        <v>Free Agents of Chaos</v>
      </c>
      <c r="I32" t="str">
        <v>Boston T Party</v>
      </c>
    </row>
    <row r="33">
      <c r="B33" t="str">
        <v>Refs: Left Corners</v>
      </c>
      <c r="G33" t="str">
        <v>Refs: Big Bugs</v>
      </c>
      <c r="L33" t="str">
        <v>Off: Biker Gang, Boop Boop</v>
      </c>
    </row>
    <row r="34">
      <c r="A34" t="str">
        <v>Game 17</v>
      </c>
      <c r="B34" t="str">
        <v>Biker Gang</v>
      </c>
      <c r="D34" t="str">
        <v>Free Agents of Chaos</v>
      </c>
      <c r="G34" t="str">
        <v>Boop Boop</v>
      </c>
      <c r="I34" t="str">
        <v>Cash Only</v>
      </c>
    </row>
    <row r="35">
      <c r="B35" t="str">
        <v>Refs: Most Improved</v>
      </c>
      <c r="G35" t="str">
        <v>Refs: Boston T Party</v>
      </c>
      <c r="L35" t="str">
        <v>Off: Left Corners, Big Bugs</v>
      </c>
    </row>
    <row r="36">
      <c r="A36" t="str">
        <v>Game 18</v>
      </c>
      <c r="B36" t="str">
        <v>Most Improved</v>
      </c>
      <c r="D36" t="str">
        <v>Left Corners</v>
      </c>
      <c r="G36" t="str">
        <v>Boston T Party</v>
      </c>
      <c r="I36" t="str">
        <v>Big Bugs</v>
      </c>
    </row>
    <row r="37">
      <c r="B37" t="str">
        <v>Refs: Biker Gang</v>
      </c>
      <c r="G37" t="str">
        <v>Refs: Boop Boop</v>
      </c>
      <c r="L37" t="str">
        <v>Off: Free Agents of Chaos, Cash Only</v>
      </c>
    </row>
    <row r="38">
      <c r="A38" t="str">
        <v>Game 19</v>
      </c>
      <c r="B38" t="str">
        <v>Cash Only</v>
      </c>
      <c r="D38" t="str">
        <v>Biker Gang</v>
      </c>
      <c r="G38" t="str">
        <v>Free Agents of Chaos</v>
      </c>
      <c r="I38" t="str">
        <v>Boop Boop</v>
      </c>
    </row>
    <row r="39">
      <c r="B39" t="str">
        <v>Refs: Left Corners</v>
      </c>
      <c r="G39" t="str">
        <v>Refs: Big Bugs</v>
      </c>
      <c r="L39" t="str">
        <v>Off: Most Improved, Boston T Party</v>
      </c>
    </row>
    <row r="40">
      <c r="A40" t="str">
        <v>Game 20</v>
      </c>
      <c r="B40" t="str">
        <v>Big Bugs</v>
      </c>
      <c r="D40" t="str">
        <v>Most Improved</v>
      </c>
      <c r="G40" t="str">
        <v>Left Corners</v>
      </c>
      <c r="I40" t="str">
        <v>Boston T Party</v>
      </c>
    </row>
    <row r="41">
      <c r="B41" t="str">
        <v>Refs: Free Agents of Chaos</v>
      </c>
      <c r="G41" t="str">
        <v>Refs: Cash Only</v>
      </c>
      <c r="L41" t="str">
        <v>Off: Biker Gang, Boop Boop</v>
      </c>
    </row>
    <row r="44">
      <c r="A44" t="str">
        <v>Team Wins/Losses This Week</v>
      </c>
    </row>
    <row r="45">
      <c r="A45" t="str">
        <v>Team Name</v>
      </c>
      <c r="B45" t="str">
        <v>Wins</v>
      </c>
      <c r="C45" t="str">
        <v>Losses</v>
      </c>
    </row>
    <row r="46">
      <c r="A46" t="str">
        <v>Biker Gang</v>
      </c>
      <c r="B46" t="str">
        <f>SUMIFS(C:C,B:B,"Biker Gang*")+SUMIFS(E:E,D:D,"Biker Gang*")+SUMIFS(H:H,G:G,"Biker Gang*")+SUMIFS(J:J,I:I,"Biker Gang*")</f>
        <v>#REF!</v>
      </c>
      <c r="C46">
        <f>SUMIFS(E:E,B:B,"Biker Gang*")+SUMIFS(C:C,D:D,"Biker Gang*")+SUMIFS(J:J,G:G,"Biker Gang*")+SUMIFS(H:H,I:I,"Biker Gang*")</f>
        <v>0</v>
      </c>
    </row>
    <row r="47">
      <c r="A47" t="str">
        <v>Boop Boop</v>
      </c>
      <c r="B47" t="str">
        <f>SUMIFS(C:C,B:B,"Boop Boop*")+SUMIFS(E:E,D:D,"Boop Boop*")+SUMIFS(H:H,G:G,"Boop Boop*")+SUMIFS(J:J,I:I,"Boop Boop*")</f>
        <v>#REF!</v>
      </c>
      <c r="C47">
        <f>SUMIFS(E:E,B:B,"Boop Boop*")+SUMIFS(C:C,D:D,"Boop Boop*")+SUMIFS(J:J,G:G,"Boop Boop*")+SUMIFS(H:H,I:I,"Boop Boop*")</f>
        <v>0</v>
      </c>
    </row>
    <row r="48">
      <c r="A48" t="str">
        <v>Most Improved</v>
      </c>
      <c r="B48" t="str">
        <f>SUMIFS(C:C,B:B,"Most Improved*")+SUMIFS(E:E,D:D,"Most Improved*")+SUMIFS(H:H,G:G,"Most Improved*")+SUMIFS(J:J,I:I,"Most Improved*")</f>
        <v>#REF!</v>
      </c>
      <c r="C48">
        <f>SUMIFS(E:E,B:B,"Most Improved*")+SUMIFS(C:C,D:D,"Most Improved*")+SUMIFS(J:J,G:G,"Most Improved*")+SUMIFS(H:H,I:I,"Most Improved*")</f>
        <v>0</v>
      </c>
    </row>
    <row r="49">
      <c r="A49" t="str">
        <v>Boston T Party</v>
      </c>
      <c r="B49" t="str">
        <f>SUMIFS(C:C,B:B,"Boston T Party*")+SUMIFS(E:E,D:D,"Boston T Party*")+SUMIFS(H:H,G:G,"Boston T Party*")+SUMIFS(J:J,I:I,"Boston T Party*")</f>
        <v>#REF!</v>
      </c>
      <c r="C49">
        <f>SUMIFS(E:E,B:B,"Boston T Party*")+SUMIFS(C:C,D:D,"Boston T Party*")+SUMIFS(J:J,G:G,"Boston T Party*")+SUMIFS(H:H,I:I,"Boston T Party*")</f>
        <v>0</v>
      </c>
    </row>
    <row r="50">
      <c r="A50" t="str">
        <v>Left Corners</v>
      </c>
      <c r="B50" t="str">
        <f>SUMIFS(C:C,B:B,"Left Corners*")+SUMIFS(E:E,D:D,"Left Corners*")+SUMIFS(H:H,G:G,"Left Corners*")+SUMIFS(J:J,I:I,"Left Corners*")</f>
        <v>#REF!</v>
      </c>
      <c r="C50">
        <f>SUMIFS(E:E,B:B,"Left Corners*")+SUMIFS(C:C,D:D,"Left Corners*")+SUMIFS(J:J,G:G,"Left Corners*")+SUMIFS(H:H,I:I,"Left Corners*")</f>
        <v>0</v>
      </c>
    </row>
    <row r="51">
      <c r="A51" t="str">
        <v>Big Bugs</v>
      </c>
      <c r="B51" t="str">
        <f>SUMIFS(C:C,B:B,"Big Bugs*")+SUMIFS(E:E,D:D,"Big Bugs*")+SUMIFS(H:H,G:G,"Big Bugs*")+SUMIFS(J:J,I:I,"Big Bugs*")</f>
        <v>#REF!</v>
      </c>
      <c r="C51">
        <f>SUMIFS(E:E,B:B,"Big Bugs*")+SUMIFS(C:C,D:D,"Big Bugs*")+SUMIFS(J:J,G:G,"Big Bugs*")+SUMIFS(H:H,I:I,"Big Bugs*")</f>
        <v>0</v>
      </c>
    </row>
    <row r="52">
      <c r="A52" t="str">
        <v>Free Agents of Chaos</v>
      </c>
      <c r="B52" t="str">
        <f>SUMIFS(C:C,B:B,"Free Agents of Chaos*")+SUMIFS(E:E,D:D,"Free Agents of Chaos*")+SUMIFS(H:H,G:G,"Free Agents of Chaos*")+SUMIFS(J:J,I:I,"Free Agents of Chaos*")</f>
        <v>#REF!</v>
      </c>
      <c r="C52">
        <f>SUMIFS(E:E,B:B,"Free Agents of Chaos*")+SUMIFS(C:C,D:D,"Free Agents of Chaos*")+SUMIFS(J:J,G:G,"Free Agents of Chaos*")+SUMIFS(H:H,I:I,"Free Agents of Chaos*")</f>
        <v>0</v>
      </c>
    </row>
    <row r="53">
      <c r="A53" t="str">
        <v>Cash Only</v>
      </c>
      <c r="B53" t="str">
        <f>SUMIFS(C:C,B:B,"Cash Only*")+SUMIFS(E:E,D:D,"Cash Only*")+SUMIFS(H:H,G:G,"Cash Only*")+SUMIFS(J:J,I:I,"Cash Only*")</f>
        <v>#REF!</v>
      </c>
      <c r="C53">
        <f>SUMIFS(E:E,B:B,"Cash Only*")+SUMIFS(C:C,D:D,"Cash Only*")+SUMIFS(J:J,G:G,"Cash Only*")+SUMIFS(H:H,I:I,"Cash Only*")</f>
        <v>0</v>
      </c>
    </row>
  </sheetData>
  <mergeCells count="60">
    <mergeCell ref="B25:D25"/>
    <mergeCell ref="G25:I25"/>
    <mergeCell ref="A20:A21"/>
    <mergeCell ref="B21:D21"/>
    <mergeCell ref="G21:I21"/>
    <mergeCell ref="A22:A23"/>
    <mergeCell ref="B23:D23"/>
    <mergeCell ref="G23:I23"/>
    <mergeCell ref="A24:A25"/>
    <mergeCell ref="B31:D31"/>
    <mergeCell ref="G31:I31"/>
    <mergeCell ref="A26:A27"/>
    <mergeCell ref="B27:D27"/>
    <mergeCell ref="G27:I27"/>
    <mergeCell ref="A28:A29"/>
    <mergeCell ref="B29:D29"/>
    <mergeCell ref="G29:I29"/>
    <mergeCell ref="A30:A31"/>
    <mergeCell ref="B37:D37"/>
    <mergeCell ref="G37:I37"/>
    <mergeCell ref="A32:A33"/>
    <mergeCell ref="B33:D33"/>
    <mergeCell ref="G33:I33"/>
    <mergeCell ref="A34:A35"/>
    <mergeCell ref="B35:D35"/>
    <mergeCell ref="G35:I35"/>
    <mergeCell ref="A36:A37"/>
    <mergeCell ref="B7:D7"/>
    <mergeCell ref="G7:I7"/>
    <mergeCell ref="A2:A3"/>
    <mergeCell ref="B3:D3"/>
    <mergeCell ref="G3:I3"/>
    <mergeCell ref="A4:A5"/>
    <mergeCell ref="B5:D5"/>
    <mergeCell ref="G5:I5"/>
    <mergeCell ref="A6:A7"/>
    <mergeCell ref="B13:D13"/>
    <mergeCell ref="G13:I13"/>
    <mergeCell ref="A8:A9"/>
    <mergeCell ref="B9:D9"/>
    <mergeCell ref="G9:I9"/>
    <mergeCell ref="A10:A11"/>
    <mergeCell ref="B11:D11"/>
    <mergeCell ref="G11:I11"/>
    <mergeCell ref="A12:A13"/>
    <mergeCell ref="B19:D19"/>
    <mergeCell ref="G19:I19"/>
    <mergeCell ref="A14:A15"/>
    <mergeCell ref="B15:D15"/>
    <mergeCell ref="G15:I15"/>
    <mergeCell ref="A16:A17"/>
    <mergeCell ref="B17:D17"/>
    <mergeCell ref="G17:I17"/>
    <mergeCell ref="A18:A19"/>
    <mergeCell ref="A38:A39"/>
    <mergeCell ref="B39:D39"/>
    <mergeCell ref="G39:I39"/>
    <mergeCell ref="A40:A41"/>
    <mergeCell ref="B41:D41"/>
    <mergeCell ref="G41:I41"/>
  </mergeCells>
  <pageMargins left="0.75" right="0.75" top="1" bottom="1" header="0" footer="0"/>
  <ignoredErrors>
    <ignoredError numberStoredAsText="1" sqref="A1:L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B1" t="str">
        <v>Court 1</v>
      </c>
      <c r="G1" t="str">
        <v>Court 2</v>
      </c>
    </row>
    <row r="2">
      <c r="A2" t="str">
        <v>Game 01</v>
      </c>
      <c r="B2" t="str">
        <v>Biker Gang</v>
      </c>
      <c r="D2" t="str">
        <v>Boop Boop</v>
      </c>
      <c r="G2" t="str">
        <v>Most Improved</v>
      </c>
      <c r="I2" t="str">
        <v>Boston T Party</v>
      </c>
    </row>
    <row r="3">
      <c r="B3" t="str">
        <v>Refs: Left Corners</v>
      </c>
      <c r="G3" t="str">
        <v>Refs: Big Bugs</v>
      </c>
      <c r="L3" t="str">
        <v>Off: Free Agents of Chaos, Cash Only</v>
      </c>
    </row>
    <row r="4">
      <c r="A4" t="str">
        <v>Game 02</v>
      </c>
      <c r="B4" t="str">
        <v>Left Corners</v>
      </c>
      <c r="D4" t="str">
        <v>Big Bugs</v>
      </c>
      <c r="G4" t="str">
        <v>Free Agents of Chaos</v>
      </c>
      <c r="I4" t="str">
        <v>Cash Only</v>
      </c>
    </row>
    <row r="5">
      <c r="B5" t="str">
        <v>Refs: Biker Gang</v>
      </c>
      <c r="G5" t="str">
        <v>Refs: Boop Boop</v>
      </c>
      <c r="L5" t="str">
        <v>Off: Most Improved, Boston T Party</v>
      </c>
    </row>
    <row r="6">
      <c r="A6" t="str">
        <v>Game 03</v>
      </c>
      <c r="B6" t="str">
        <v>Biker Gang</v>
      </c>
      <c r="D6" t="str">
        <v>Most Improved</v>
      </c>
      <c r="G6" t="str">
        <v>Boston T Party</v>
      </c>
      <c r="I6" t="str">
        <v>Boop Boop</v>
      </c>
    </row>
    <row r="7">
      <c r="B7" t="str">
        <v>Refs: Free Agents of Chaos</v>
      </c>
      <c r="G7" t="str">
        <v>Refs: Cash Only</v>
      </c>
      <c r="L7" t="str">
        <v>Off: Left Corners, Big Bugs</v>
      </c>
    </row>
    <row r="8">
      <c r="A8" t="str">
        <v>Game 04</v>
      </c>
      <c r="B8" t="str">
        <v>Free Agents of Chaos</v>
      </c>
      <c r="D8" t="str">
        <v>Left Corners</v>
      </c>
      <c r="G8" t="str">
        <v>Cash Only</v>
      </c>
      <c r="I8" t="str">
        <v>Big Bugs</v>
      </c>
    </row>
    <row r="9">
      <c r="B9" t="str">
        <v>Refs: Most Improved</v>
      </c>
      <c r="G9" t="str">
        <v>Refs: Boston T Party</v>
      </c>
      <c r="L9" t="str">
        <v>Off: Biker Gang, Boop Boop</v>
      </c>
    </row>
    <row r="10">
      <c r="A10" t="str">
        <v>Game 05</v>
      </c>
      <c r="B10" t="str">
        <v>Biker Gang</v>
      </c>
      <c r="D10" t="str">
        <v>Boston T Party</v>
      </c>
      <c r="G10" t="str">
        <v>Boop Boop</v>
      </c>
      <c r="I10" t="str">
        <v>Most Improved</v>
      </c>
    </row>
    <row r="11">
      <c r="B11" t="str">
        <v>Refs: Left Corners</v>
      </c>
      <c r="G11" t="str">
        <v>Refs: Big Bugs</v>
      </c>
      <c r="L11" t="str">
        <v>Off: Free Agents of Chaos, Cash Only</v>
      </c>
    </row>
    <row r="12">
      <c r="A12" t="str">
        <v>Game 06</v>
      </c>
      <c r="B12" t="str">
        <v>Left Corners</v>
      </c>
      <c r="D12" t="str">
        <v>Cash Only</v>
      </c>
      <c r="G12" t="str">
        <v>Big Bugs</v>
      </c>
      <c r="I12" t="str">
        <v>Free Agents of Chaos</v>
      </c>
    </row>
    <row r="13">
      <c r="B13" t="str">
        <v>Refs: Biker Gang</v>
      </c>
      <c r="G13" t="str">
        <v>Refs: Boop Boop</v>
      </c>
      <c r="L13" t="str">
        <v>Off: Most Improved, Boston T Party</v>
      </c>
    </row>
    <row r="14">
      <c r="A14" t="str">
        <v>Game 07</v>
      </c>
      <c r="B14" t="str">
        <v>Biker Gang</v>
      </c>
      <c r="D14" t="str">
        <v>Left Corners</v>
      </c>
      <c r="G14" t="str">
        <v>Boop Boop</v>
      </c>
      <c r="I14" t="str">
        <v>Big Bugs</v>
      </c>
    </row>
    <row r="15">
      <c r="B15" t="str">
        <v>Refs: Most Improved</v>
      </c>
      <c r="G15" t="str">
        <v>Refs: Boston T Party</v>
      </c>
      <c r="L15" t="str">
        <v>Off: Free Agents of Chaos, Cash Only</v>
      </c>
    </row>
    <row r="16">
      <c r="A16" t="str">
        <v>Game 08</v>
      </c>
      <c r="B16" t="str">
        <v>Most Improved</v>
      </c>
      <c r="D16" t="str">
        <v>Free Agents of Chaos</v>
      </c>
      <c r="G16" t="str">
        <v>Boston T Party</v>
      </c>
      <c r="I16" t="str">
        <v>Cash Only</v>
      </c>
    </row>
    <row r="17">
      <c r="B17" t="str">
        <v>Refs: Biker Gang</v>
      </c>
      <c r="G17" t="str">
        <v>Refs: Boop Boop</v>
      </c>
      <c r="L17" t="str">
        <v>Off: Left Corners, Big Bugs</v>
      </c>
    </row>
    <row r="18">
      <c r="A18" t="str">
        <v>Game 09</v>
      </c>
      <c r="B18" t="str">
        <v>Left Corners</v>
      </c>
      <c r="D18" t="str">
        <v>Biker Gang</v>
      </c>
      <c r="G18" t="str">
        <v>Big Bugs</v>
      </c>
      <c r="I18" t="str">
        <v>Boop Boop</v>
      </c>
    </row>
    <row r="19">
      <c r="B19" t="str">
        <v>Refs: Free Agents of Chaos</v>
      </c>
      <c r="G19" t="str">
        <v>Refs: Cash Only</v>
      </c>
      <c r="L19" t="str">
        <v>Off: Most Improved, Boston T Party</v>
      </c>
    </row>
    <row r="20">
      <c r="A20" t="str">
        <v>Game 10</v>
      </c>
      <c r="B20" t="str">
        <v>Free Agents of Chaos</v>
      </c>
      <c r="D20" t="str">
        <v>Most Improved</v>
      </c>
      <c r="G20" t="str">
        <v>Cash Only</v>
      </c>
      <c r="I20" t="str">
        <v>Boston T Party</v>
      </c>
    </row>
    <row r="21">
      <c r="B21" t="str">
        <v>Refs: Left Corners</v>
      </c>
      <c r="G21" t="str">
        <v>Refs: Big Bugs</v>
      </c>
      <c r="L21" t="str">
        <v>Off: Biker Gang, Boop Boop</v>
      </c>
    </row>
    <row r="22">
      <c r="A22" t="str">
        <v>Game 11</v>
      </c>
      <c r="B22" t="str">
        <v>Big Bugs</v>
      </c>
      <c r="D22" t="str">
        <v>Biker Gang</v>
      </c>
      <c r="G22" t="str">
        <v>Left Corners</v>
      </c>
      <c r="I22" t="str">
        <v>Boop Boop</v>
      </c>
    </row>
    <row r="23">
      <c r="B23" t="str">
        <v>Refs: Most Improved</v>
      </c>
      <c r="G23" t="str">
        <v>Refs: Boston T Party</v>
      </c>
      <c r="L23" t="str">
        <v>Off: Free Agents of Chaos, Cash Only</v>
      </c>
    </row>
    <row r="24">
      <c r="A24" t="str">
        <v>Game 12</v>
      </c>
      <c r="B24" t="str">
        <v>Cash Only</v>
      </c>
      <c r="D24" t="str">
        <v>Most Improved</v>
      </c>
      <c r="G24" t="str">
        <v>Free Agents of Chaos</v>
      </c>
      <c r="I24" t="str">
        <v>Boston T Party</v>
      </c>
    </row>
    <row r="25">
      <c r="B25" t="str">
        <v>Refs: Biker Gang</v>
      </c>
      <c r="G25" t="str">
        <v>Refs: Boop Boop</v>
      </c>
      <c r="L25" t="str">
        <v>Off: Left Corners, Big Bugs</v>
      </c>
    </row>
    <row r="26">
      <c r="A26" t="str">
        <v>Game 13</v>
      </c>
      <c r="B26" t="str">
        <v>Big Bugs</v>
      </c>
      <c r="D26" t="str">
        <v>Biker Gang</v>
      </c>
      <c r="G26" t="str">
        <v>Boop Boop</v>
      </c>
      <c r="I26" t="str">
        <v>Left Corners</v>
      </c>
    </row>
    <row r="27">
      <c r="B27" t="str">
        <v>Refs: Free Agents of Chaos</v>
      </c>
      <c r="G27" t="str">
        <v>Refs: Cash Only</v>
      </c>
      <c r="L27" t="str">
        <v>Off: Most Improved, Boston T Party</v>
      </c>
    </row>
    <row r="28">
      <c r="A28" t="str">
        <v>Game 14</v>
      </c>
      <c r="B28" t="str">
        <v>Most Improved</v>
      </c>
      <c r="D28" t="str">
        <v>Cash Only</v>
      </c>
      <c r="G28" t="str">
        <v>Boston T Party</v>
      </c>
      <c r="I28" t="str">
        <v>Free Agents of Chaos</v>
      </c>
    </row>
    <row r="29">
      <c r="B29" t="str">
        <v>Refs: Left Corners</v>
      </c>
      <c r="G29" t="str">
        <v>Refs: Big Bugs</v>
      </c>
      <c r="L29" t="str">
        <v>Off: Biker Gang, Boop Boop</v>
      </c>
    </row>
    <row r="30">
      <c r="A30" t="str">
        <v>Game 15</v>
      </c>
      <c r="B30" t="str">
        <v>Biker Gang</v>
      </c>
      <c r="D30" t="str">
        <v>Free Agents of Chaos</v>
      </c>
      <c r="G30" t="str">
        <v>Boop Boop</v>
      </c>
      <c r="I30" t="str">
        <v>Cash Only</v>
      </c>
    </row>
    <row r="31">
      <c r="B31" t="str">
        <v>Refs: Most Improved</v>
      </c>
      <c r="G31" t="str">
        <v>Refs: Boston T Party</v>
      </c>
      <c r="L31" t="str">
        <v>Off: Left Corners, Big Bugs</v>
      </c>
    </row>
    <row r="32">
      <c r="A32" t="str">
        <v>Game 16</v>
      </c>
      <c r="B32" t="str">
        <v>Most Improved</v>
      </c>
      <c r="D32" t="str">
        <v>Left Corners</v>
      </c>
      <c r="G32" t="str">
        <v>Boston T Party</v>
      </c>
      <c r="I32" t="str">
        <v>Big Bugs</v>
      </c>
    </row>
    <row r="33">
      <c r="B33" t="str">
        <v>Refs: Free Agents of Chaos</v>
      </c>
      <c r="G33" t="str">
        <v>Refs: Cash Only</v>
      </c>
      <c r="L33" t="str">
        <v>Off: Biker Gang, Boop Boop</v>
      </c>
    </row>
    <row r="34">
      <c r="A34" t="str">
        <v>Game 17</v>
      </c>
      <c r="B34" t="str">
        <v>Free Agents of Chaos</v>
      </c>
      <c r="D34" t="str">
        <v>Biker Gang</v>
      </c>
      <c r="G34" t="str">
        <v>Cash Only</v>
      </c>
      <c r="I34" t="str">
        <v>Boop Boop</v>
      </c>
    </row>
    <row r="35">
      <c r="B35" t="str">
        <v>Refs: Most Improved</v>
      </c>
      <c r="G35" t="str">
        <v>Refs: Boston T Party</v>
      </c>
      <c r="L35" t="str">
        <v>Off: Left Corners, Big Bugs</v>
      </c>
    </row>
    <row r="36">
      <c r="A36" t="str">
        <v>Game 18</v>
      </c>
      <c r="B36" t="str">
        <v>Left Corners</v>
      </c>
      <c r="D36" t="str">
        <v>Most Improved</v>
      </c>
      <c r="G36" t="str">
        <v>Big Bugs</v>
      </c>
      <c r="I36" t="str">
        <v>Boston T Party</v>
      </c>
    </row>
    <row r="37">
      <c r="B37" t="str">
        <v>Refs: Biker Gang</v>
      </c>
      <c r="G37" t="str">
        <v>Refs: Boop Boop</v>
      </c>
      <c r="L37" t="str">
        <v>Off: Free Agents of Chaos, Cash Only</v>
      </c>
    </row>
    <row r="38">
      <c r="A38" t="str">
        <v>Game 19</v>
      </c>
      <c r="B38" t="str">
        <v>Cash Only</v>
      </c>
      <c r="D38" t="str">
        <v>Biker Gang</v>
      </c>
      <c r="G38" t="str">
        <v>Boop Boop</v>
      </c>
      <c r="I38" t="str">
        <v>Free Agents of Chaos</v>
      </c>
    </row>
    <row r="39">
      <c r="B39" t="str">
        <v>Refs: Left Corners</v>
      </c>
      <c r="G39" t="str">
        <v>Refs: Big Bugs</v>
      </c>
      <c r="L39" t="str">
        <v>Off: Most Improved, Boston T Party</v>
      </c>
    </row>
    <row r="40">
      <c r="A40" t="str">
        <v>Game 20</v>
      </c>
      <c r="B40" t="str">
        <v>Most Improved</v>
      </c>
      <c r="D40" t="str">
        <v>Big Bugs</v>
      </c>
      <c r="G40" t="str">
        <v>Boston T Party</v>
      </c>
      <c r="I40" t="str">
        <v>Left Corners</v>
      </c>
    </row>
    <row r="41">
      <c r="B41" t="str">
        <v>Refs: Free Agents of Chaos</v>
      </c>
      <c r="G41" t="str">
        <v>Refs: Cash Only</v>
      </c>
      <c r="L41" t="str">
        <v>Off: Biker Gang, Boop Boop</v>
      </c>
    </row>
    <row r="44">
      <c r="A44" t="str">
        <v>Team Wins/Losses This Week</v>
      </c>
    </row>
    <row r="45">
      <c r="A45" t="str">
        <v>Team Name</v>
      </c>
      <c r="B45" t="str">
        <v>Wins</v>
      </c>
      <c r="C45" t="str">
        <v>Losses</v>
      </c>
    </row>
    <row r="46">
      <c r="A46" t="str">
        <v>Biker Gang</v>
      </c>
      <c r="B46" t="str">
        <f>SUMIFS(C:C,B:B,"Biker Gang*")+SUMIFS(E:E,D:D,"Biker Gang*")+SUMIFS(H:H,G:G,"Biker Gang*")+SUMIFS(J:J,I:I,"Biker Gang*")</f>
        <v>#REF!</v>
      </c>
      <c r="C46">
        <f>SUMIFS(E:E,B:B,"Biker Gang*")+SUMIFS(C:C,D:D,"Biker Gang*")+SUMIFS(J:J,G:G,"Biker Gang*")+SUMIFS(H:H,I:I,"Biker Gang*")</f>
        <v>0</v>
      </c>
    </row>
    <row r="47">
      <c r="A47" t="str">
        <v>Boop Boop</v>
      </c>
      <c r="B47" t="str">
        <f>SUMIFS(C:C,B:B,"Boop Boop*")+SUMIFS(E:E,D:D,"Boop Boop*")+SUMIFS(H:H,G:G,"Boop Boop*")+SUMIFS(J:J,I:I,"Boop Boop*")</f>
        <v>#REF!</v>
      </c>
      <c r="C47">
        <f>SUMIFS(E:E,B:B,"Boop Boop*")+SUMIFS(C:C,D:D,"Boop Boop*")+SUMIFS(J:J,G:G,"Boop Boop*")+SUMIFS(H:H,I:I,"Boop Boop*")</f>
        <v>0</v>
      </c>
    </row>
    <row r="48">
      <c r="A48" t="str">
        <v>Most Improved</v>
      </c>
      <c r="B48" t="str">
        <f>SUMIFS(C:C,B:B,"Most Improved*")+SUMIFS(E:E,D:D,"Most Improved*")+SUMIFS(H:H,G:G,"Most Improved*")+SUMIFS(J:J,I:I,"Most Improved*")</f>
        <v>#REF!</v>
      </c>
      <c r="C48">
        <f>SUMIFS(E:E,B:B,"Most Improved*")+SUMIFS(C:C,D:D,"Most Improved*")+SUMIFS(J:J,G:G,"Most Improved*")+SUMIFS(H:H,I:I,"Most Improved*")</f>
        <v>0</v>
      </c>
    </row>
    <row r="49">
      <c r="A49" t="str">
        <v>Boston T Party</v>
      </c>
      <c r="B49" t="str">
        <f>SUMIFS(C:C,B:B,"Boston T Party*")+SUMIFS(E:E,D:D,"Boston T Party*")+SUMIFS(H:H,G:G,"Boston T Party*")+SUMIFS(J:J,I:I,"Boston T Party*")</f>
        <v>#REF!</v>
      </c>
      <c r="C49">
        <f>SUMIFS(E:E,B:B,"Boston T Party*")+SUMIFS(C:C,D:D,"Boston T Party*")+SUMIFS(J:J,G:G,"Boston T Party*")+SUMIFS(H:H,I:I,"Boston T Party*")</f>
        <v>0</v>
      </c>
    </row>
    <row r="50">
      <c r="A50" t="str">
        <v>Left Corners</v>
      </c>
      <c r="B50" t="str">
        <f>SUMIFS(C:C,B:B,"Left Corners*")+SUMIFS(E:E,D:D,"Left Corners*")+SUMIFS(H:H,G:G,"Left Corners*")+SUMIFS(J:J,I:I,"Left Corners*")</f>
        <v>#REF!</v>
      </c>
      <c r="C50">
        <f>SUMIFS(E:E,B:B,"Left Corners*")+SUMIFS(C:C,D:D,"Left Corners*")+SUMIFS(J:J,G:G,"Left Corners*")+SUMIFS(H:H,I:I,"Left Corners*")</f>
        <v>0</v>
      </c>
    </row>
    <row r="51">
      <c r="A51" t="str">
        <v>Big Bugs</v>
      </c>
      <c r="B51" t="str">
        <f>SUMIFS(C:C,B:B,"Big Bugs*")+SUMIFS(E:E,D:D,"Big Bugs*")+SUMIFS(H:H,G:G,"Big Bugs*")+SUMIFS(J:J,I:I,"Big Bugs*")</f>
        <v>#REF!</v>
      </c>
      <c r="C51">
        <f>SUMIFS(E:E,B:B,"Big Bugs*")+SUMIFS(C:C,D:D,"Big Bugs*")+SUMIFS(J:J,G:G,"Big Bugs*")+SUMIFS(H:H,I:I,"Big Bugs*")</f>
        <v>0</v>
      </c>
    </row>
    <row r="52">
      <c r="A52" t="str">
        <v>Free Agents of Chaos</v>
      </c>
      <c r="B52" t="str">
        <f>SUMIFS(C:C,B:B,"Free Agents of Chaos*")+SUMIFS(E:E,D:D,"Free Agents of Chaos*")+SUMIFS(H:H,G:G,"Free Agents of Chaos*")+SUMIFS(J:J,I:I,"Free Agents of Chaos*")</f>
        <v>#REF!</v>
      </c>
      <c r="C52">
        <f>SUMIFS(E:E,B:B,"Free Agents of Chaos*")+SUMIFS(C:C,D:D,"Free Agents of Chaos*")+SUMIFS(J:J,G:G,"Free Agents of Chaos*")+SUMIFS(H:H,I:I,"Free Agents of Chaos*")</f>
        <v>0</v>
      </c>
    </row>
    <row r="53">
      <c r="A53" t="str">
        <v>Cash Only</v>
      </c>
      <c r="B53" t="str">
        <f>SUMIFS(C:C,B:B,"Cash Only*")+SUMIFS(E:E,D:D,"Cash Only*")+SUMIFS(H:H,G:G,"Cash Only*")+SUMIFS(J:J,I:I,"Cash Only*")</f>
        <v>#REF!</v>
      </c>
      <c r="C53">
        <f>SUMIFS(E:E,B:B,"Cash Only*")+SUMIFS(C:C,D:D,"Cash Only*")+SUMIFS(J:J,G:G,"Cash Only*")+SUMIFS(H:H,I:I,"Cash Only*")</f>
        <v>0</v>
      </c>
    </row>
  </sheetData>
  <mergeCells count="60">
    <mergeCell ref="B25:D25"/>
    <mergeCell ref="G25:I25"/>
    <mergeCell ref="A20:A21"/>
    <mergeCell ref="B21:D21"/>
    <mergeCell ref="G21:I21"/>
    <mergeCell ref="A22:A23"/>
    <mergeCell ref="B23:D23"/>
    <mergeCell ref="G23:I23"/>
    <mergeCell ref="A24:A25"/>
    <mergeCell ref="B31:D31"/>
    <mergeCell ref="G31:I31"/>
    <mergeCell ref="A26:A27"/>
    <mergeCell ref="B27:D27"/>
    <mergeCell ref="G27:I27"/>
    <mergeCell ref="A28:A29"/>
    <mergeCell ref="B29:D29"/>
    <mergeCell ref="G29:I29"/>
    <mergeCell ref="A30:A31"/>
    <mergeCell ref="B37:D37"/>
    <mergeCell ref="G37:I37"/>
    <mergeCell ref="A32:A33"/>
    <mergeCell ref="B33:D33"/>
    <mergeCell ref="G33:I33"/>
    <mergeCell ref="A34:A35"/>
    <mergeCell ref="B35:D35"/>
    <mergeCell ref="G35:I35"/>
    <mergeCell ref="A36:A37"/>
    <mergeCell ref="B7:D7"/>
    <mergeCell ref="G7:I7"/>
    <mergeCell ref="A2:A3"/>
    <mergeCell ref="B3:D3"/>
    <mergeCell ref="G3:I3"/>
    <mergeCell ref="A4:A5"/>
    <mergeCell ref="B5:D5"/>
    <mergeCell ref="G5:I5"/>
    <mergeCell ref="A6:A7"/>
    <mergeCell ref="B13:D13"/>
    <mergeCell ref="G13:I13"/>
    <mergeCell ref="A8:A9"/>
    <mergeCell ref="B9:D9"/>
    <mergeCell ref="G9:I9"/>
    <mergeCell ref="A10:A11"/>
    <mergeCell ref="B11:D11"/>
    <mergeCell ref="G11:I11"/>
    <mergeCell ref="A12:A13"/>
    <mergeCell ref="B19:D19"/>
    <mergeCell ref="G19:I19"/>
    <mergeCell ref="A14:A15"/>
    <mergeCell ref="B15:D15"/>
    <mergeCell ref="G15:I15"/>
    <mergeCell ref="A16:A17"/>
    <mergeCell ref="B17:D17"/>
    <mergeCell ref="G17:I17"/>
    <mergeCell ref="A18:A19"/>
    <mergeCell ref="A38:A39"/>
    <mergeCell ref="B39:D39"/>
    <mergeCell ref="G39:I39"/>
    <mergeCell ref="A40:A41"/>
    <mergeCell ref="B41:D41"/>
    <mergeCell ref="G41:I41"/>
  </mergeCells>
  <pageMargins left="0.75" right="0.75" top="1" bottom="1" header="0" footer="0"/>
  <ignoredErrors>
    <ignoredError numberStoredAsText="1" sqref="A1:L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B1" t="str">
        <v>Court 1</v>
      </c>
      <c r="G1" t="str">
        <v>Court 2</v>
      </c>
    </row>
    <row r="2">
      <c r="A2" t="str">
        <v>Game 01</v>
      </c>
      <c r="B2" t="str">
        <v>Biker Gang</v>
      </c>
      <c r="D2" t="str">
        <v>Boop Boop</v>
      </c>
      <c r="G2" t="str">
        <v>Boston T Party</v>
      </c>
      <c r="I2" t="str">
        <v>Most Improved</v>
      </c>
    </row>
    <row r="3">
      <c r="B3" t="str">
        <v>Refs: Left Corners</v>
      </c>
      <c r="G3" t="str">
        <v>Refs: Big Bugs</v>
      </c>
      <c r="L3" t="str">
        <v>Off: Free Agents of Chaos, Cash Only</v>
      </c>
    </row>
    <row r="4">
      <c r="A4" t="str">
        <v>Game 02</v>
      </c>
      <c r="B4" t="str">
        <v>Left Corners</v>
      </c>
      <c r="D4" t="str">
        <v>Big Bugs</v>
      </c>
      <c r="G4" t="str">
        <v>Free Agents of Chaos</v>
      </c>
      <c r="I4" t="str">
        <v>Cash Only</v>
      </c>
    </row>
    <row r="5">
      <c r="B5" t="str">
        <v>Refs: Biker Gang</v>
      </c>
      <c r="G5" t="str">
        <v>Refs: Boop Boop</v>
      </c>
      <c r="L5" t="str">
        <v>Off: Most Improved, Boston T Party</v>
      </c>
    </row>
    <row r="6">
      <c r="A6" t="str">
        <v>Game 03</v>
      </c>
      <c r="B6" t="str">
        <v>Biker Gang</v>
      </c>
      <c r="D6" t="str">
        <v>Boop Boop</v>
      </c>
      <c r="G6" t="str">
        <v>Most Improved</v>
      </c>
      <c r="I6" t="str">
        <v>Left Corners</v>
      </c>
    </row>
    <row r="7">
      <c r="B7" t="str">
        <v>Refs: Boston T Party</v>
      </c>
      <c r="G7" t="str">
        <v>Refs: Free Agents of Chaos</v>
      </c>
      <c r="L7" t="str">
        <v>Off: Big Bugs, Cash Only</v>
      </c>
    </row>
    <row r="8">
      <c r="A8" t="str">
        <v>Game 04</v>
      </c>
      <c r="B8" t="str">
        <v>Big Bugs</v>
      </c>
      <c r="D8" t="str">
        <v>Boston T Party</v>
      </c>
      <c r="G8" t="str">
        <v>Cash Only</v>
      </c>
      <c r="I8" t="str">
        <v>Free Agents of Chaos</v>
      </c>
    </row>
    <row r="9">
      <c r="B9" t="str">
        <v>Refs: Most Improved</v>
      </c>
      <c r="G9" t="str">
        <v>Refs: Biker Gang</v>
      </c>
      <c r="L9" t="str">
        <v>Off: Boop Boop, Left Corners</v>
      </c>
    </row>
    <row r="10">
      <c r="A10" t="str">
        <v>Game 05</v>
      </c>
      <c r="B10" t="str">
        <v>Most Improved</v>
      </c>
      <c r="D10" t="str">
        <v>Biker Gang</v>
      </c>
      <c r="G10" t="str">
        <v>Boop Boop</v>
      </c>
      <c r="I10" t="str">
        <v>Boston T Party</v>
      </c>
    </row>
    <row r="11">
      <c r="B11" t="str">
        <v>Refs: Cash Only</v>
      </c>
      <c r="G11" t="str">
        <v>Refs: Left Corners</v>
      </c>
      <c r="L11" t="str">
        <v>Off: Big Bugs, Free Agents of Chaos</v>
      </c>
    </row>
    <row r="12">
      <c r="A12" t="str">
        <v>Game 06</v>
      </c>
      <c r="B12" t="str">
        <v>Left Corners</v>
      </c>
      <c r="D12" t="str">
        <v>Free Agents of Chaos</v>
      </c>
      <c r="G12" t="str">
        <v>Big Bugs</v>
      </c>
      <c r="I12" t="str">
        <v>Cash Only</v>
      </c>
    </row>
    <row r="13">
      <c r="B13" t="str">
        <v>Refs: Boop Boop</v>
      </c>
      <c r="G13" t="str">
        <v>Refs: Most Improved</v>
      </c>
      <c r="L13" t="str">
        <v>Off: Biker Gang, Boston T Party</v>
      </c>
    </row>
    <row r="14">
      <c r="A14" t="str">
        <v>Game 07</v>
      </c>
      <c r="B14" t="str">
        <v>Biker Gang</v>
      </c>
      <c r="D14" t="str">
        <v>Most Improved</v>
      </c>
      <c r="G14" t="str">
        <v>Left Corners</v>
      </c>
      <c r="I14" t="str">
        <v>Boop Boop</v>
      </c>
    </row>
    <row r="15">
      <c r="B15" t="str">
        <v>Refs: Boston T Party</v>
      </c>
      <c r="G15" t="str">
        <v>Refs: Big Bugs</v>
      </c>
      <c r="L15" t="str">
        <v>Off: Free Agents of Chaos, Cash Only</v>
      </c>
    </row>
    <row r="16">
      <c r="A16" t="str">
        <v>Game 08</v>
      </c>
      <c r="B16" t="str">
        <v>Boston T Party</v>
      </c>
      <c r="D16" t="str">
        <v>Cash Only</v>
      </c>
      <c r="G16" t="str">
        <v>Free Agents of Chaos</v>
      </c>
      <c r="I16" t="str">
        <v>Big Bugs</v>
      </c>
    </row>
    <row r="17">
      <c r="B17" t="str">
        <v>Refs: Biker Gang</v>
      </c>
      <c r="G17" t="str">
        <v>Refs: Boop Boop</v>
      </c>
      <c r="L17" t="str">
        <v>Off: Most Improved, Left Corners</v>
      </c>
    </row>
    <row r="18">
      <c r="A18" t="str">
        <v>Game 09</v>
      </c>
      <c r="B18" t="str">
        <v>Biker Gang</v>
      </c>
      <c r="D18" t="str">
        <v>Boston T Party</v>
      </c>
      <c r="G18" t="str">
        <v>Boop Boop</v>
      </c>
      <c r="I18" t="str">
        <v>Most Improved</v>
      </c>
    </row>
    <row r="19">
      <c r="B19" t="str">
        <v>Refs: Free Agents of Chaos</v>
      </c>
      <c r="G19" t="str">
        <v>Refs: Cash Only</v>
      </c>
      <c r="L19" t="str">
        <v>Off: Left Corners, Big Bugs</v>
      </c>
    </row>
    <row r="20">
      <c r="A20" t="str">
        <v>Game 10</v>
      </c>
      <c r="B20" t="str">
        <v>Big Bugs</v>
      </c>
      <c r="D20" t="str">
        <v>Biker Gang</v>
      </c>
      <c r="G20" t="str">
        <v>Left Corners</v>
      </c>
      <c r="I20" t="str">
        <v>Cash Only</v>
      </c>
    </row>
    <row r="21">
      <c r="B21" t="str">
        <v>Refs: Most Improved</v>
      </c>
      <c r="G21" t="str">
        <v>Refs: Boston T Party</v>
      </c>
      <c r="L21" t="str">
        <v>Off: Boop Boop, Free Agents of Chaos</v>
      </c>
    </row>
    <row r="22">
      <c r="A22" t="str">
        <v>Game 11</v>
      </c>
      <c r="B22" t="str">
        <v>Most Improved</v>
      </c>
      <c r="D22" t="str">
        <v>Boop Boop</v>
      </c>
      <c r="G22" t="str">
        <v>Boston T Party</v>
      </c>
      <c r="I22" t="str">
        <v>Free Agents of Chaos</v>
      </c>
    </row>
    <row r="23">
      <c r="B23" t="str">
        <v>Refs: Left Corners</v>
      </c>
      <c r="G23" t="str">
        <v>Refs: Big Bugs</v>
      </c>
      <c r="L23" t="str">
        <v>Off: Biker Gang, Cash Only</v>
      </c>
    </row>
    <row r="24">
      <c r="A24" t="str">
        <v>Game 12</v>
      </c>
      <c r="B24" t="str">
        <v>Free Agents of Chaos</v>
      </c>
      <c r="D24" t="str">
        <v>Biker Gang</v>
      </c>
      <c r="G24" t="str">
        <v>Big Bugs</v>
      </c>
      <c r="I24" t="str">
        <v>Left Corners</v>
      </c>
    </row>
    <row r="25">
      <c r="B25" t="str">
        <v>Refs: Cash Only</v>
      </c>
      <c r="G25" t="str">
        <v>Refs: Boop Boop</v>
      </c>
      <c r="L25" t="str">
        <v>Off: Most Improved, Boston T Party</v>
      </c>
    </row>
    <row r="26">
      <c r="A26" t="str">
        <v>Game 13</v>
      </c>
      <c r="B26" t="str">
        <v>Boop Boop</v>
      </c>
      <c r="D26" t="str">
        <v>Big Bugs</v>
      </c>
      <c r="G26" t="str">
        <v>Cash Only</v>
      </c>
      <c r="I26" t="str">
        <v>Most Improved</v>
      </c>
    </row>
    <row r="27">
      <c r="B27" t="str">
        <v>Refs: Free Agents of Chaos</v>
      </c>
      <c r="G27" t="str">
        <v>Refs: Biker Gang</v>
      </c>
      <c r="L27" t="str">
        <v>Off: Boston T Party, Left Corners</v>
      </c>
    </row>
    <row r="28">
      <c r="A28" t="str">
        <v>Game 14</v>
      </c>
      <c r="B28" t="str">
        <v>Free Agents of Chaos</v>
      </c>
      <c r="D28" t="str">
        <v>Boston T Party</v>
      </c>
      <c r="G28" t="str">
        <v>Cash Only</v>
      </c>
      <c r="I28" t="str">
        <v>Left Corners</v>
      </c>
    </row>
    <row r="29">
      <c r="B29" t="str">
        <v>Refs: Most Improved</v>
      </c>
      <c r="G29" t="str">
        <v>Refs: Big Bugs</v>
      </c>
      <c r="L29" t="str">
        <v>Off: Biker Gang, Boop Boop</v>
      </c>
    </row>
    <row r="30">
      <c r="A30" t="str">
        <v>Game 15</v>
      </c>
      <c r="B30" t="str">
        <v>Biker Gang</v>
      </c>
      <c r="D30" t="str">
        <v>Left Corners</v>
      </c>
      <c r="G30" t="str">
        <v>Boop Boop</v>
      </c>
      <c r="I30" t="str">
        <v>Free Agents of Chaos</v>
      </c>
    </row>
    <row r="31">
      <c r="B31" t="str">
        <v>Refs: Boston T Party</v>
      </c>
      <c r="G31" t="str">
        <v>Refs: Cash Only</v>
      </c>
      <c r="L31" t="str">
        <v>Off: Most Improved, Big Bugs</v>
      </c>
    </row>
    <row r="32">
      <c r="A32" t="str">
        <v>Game 16</v>
      </c>
      <c r="B32" t="str">
        <v>Cash Only</v>
      </c>
      <c r="D32" t="str">
        <v>Biker Gang</v>
      </c>
      <c r="G32" t="str">
        <v>Most Improved</v>
      </c>
      <c r="I32" t="str">
        <v>Big Bugs</v>
      </c>
    </row>
    <row r="33">
      <c r="B33" t="str">
        <v>Refs: Left Corners</v>
      </c>
      <c r="G33" t="str">
        <v>Refs: Free Agents of Chaos</v>
      </c>
      <c r="L33" t="str">
        <v>Off: Boop Boop, Boston T Party</v>
      </c>
    </row>
    <row r="34">
      <c r="A34" t="str">
        <v>Game 17</v>
      </c>
      <c r="B34" t="str">
        <v>Free Agents of Chaos</v>
      </c>
      <c r="D34" t="str">
        <v>Boop Boop</v>
      </c>
      <c r="G34" t="str">
        <v>Boston T Party</v>
      </c>
      <c r="I34" t="str">
        <v>Left Corners</v>
      </c>
    </row>
    <row r="35">
      <c r="B35" t="str">
        <v>Refs: Biker Gang</v>
      </c>
      <c r="G35" t="str">
        <v>Refs: Most Improved</v>
      </c>
      <c r="L35" t="str">
        <v>Off: Big Bugs, Cash Only</v>
      </c>
    </row>
    <row r="36">
      <c r="A36" t="str">
        <v>Game 18</v>
      </c>
      <c r="B36" t="str">
        <v>Cash Only</v>
      </c>
      <c r="D36" t="str">
        <v>Biker Gang</v>
      </c>
      <c r="G36" t="str">
        <v>Big Bugs</v>
      </c>
      <c r="I36" t="str">
        <v>Most Improved</v>
      </c>
    </row>
    <row r="37">
      <c r="B37" t="str">
        <v>Refs: Boop Boop</v>
      </c>
      <c r="G37" t="str">
        <v>Refs: Boston T Party</v>
      </c>
      <c r="L37" t="str">
        <v>Off: Left Corners, Free Agents of Chaos</v>
      </c>
    </row>
    <row r="38">
      <c r="A38" t="str">
        <v>Game 19</v>
      </c>
      <c r="B38" t="str">
        <v>Boop Boop</v>
      </c>
      <c r="D38" t="str">
        <v>Cash Only</v>
      </c>
      <c r="G38" t="str">
        <v>Left Corners</v>
      </c>
      <c r="I38" t="str">
        <v>Boston T Party</v>
      </c>
    </row>
    <row r="39">
      <c r="B39" t="str">
        <v>Refs: Big Bugs</v>
      </c>
      <c r="G39" t="str">
        <v>Refs: Free Agents of Chaos</v>
      </c>
      <c r="L39" t="str">
        <v>Off: Biker Gang, Most Improved</v>
      </c>
    </row>
    <row r="40">
      <c r="A40" t="str">
        <v>Game 20</v>
      </c>
      <c r="B40" t="str">
        <v>Most Improved</v>
      </c>
      <c r="D40" t="str">
        <v>Free Agents of Chaos</v>
      </c>
      <c r="G40" t="str">
        <v>Boston T Party</v>
      </c>
      <c r="I40" t="str">
        <v>Big Bugs</v>
      </c>
    </row>
    <row r="41">
      <c r="B41" t="str">
        <v>Refs: Left Corners</v>
      </c>
      <c r="G41" t="str">
        <v>Refs: Cash Only</v>
      </c>
      <c r="L41" t="str">
        <v>Off: Biker Gang, Boop Boop</v>
      </c>
    </row>
    <row r="44">
      <c r="A44" t="str">
        <v>Team Wins/Losses This Week</v>
      </c>
    </row>
    <row r="45">
      <c r="A45" t="str">
        <v>Team Name</v>
      </c>
      <c r="B45" t="str">
        <v>Wins</v>
      </c>
      <c r="C45" t="str">
        <v>Losses</v>
      </c>
    </row>
    <row r="46">
      <c r="A46" t="str">
        <v>Biker Gang</v>
      </c>
      <c r="B46" t="str">
        <f>SUMIFS(C:C,B:B,"Biker Gang*")+SUMIFS(E:E,D:D,"Biker Gang*")+SUMIFS(H:H,G:G,"Biker Gang*")+SUMIFS(J:J,I:I,"Biker Gang*")</f>
        <v>#REF!</v>
      </c>
      <c r="C46">
        <f>SUMIFS(E:E,B:B,"Biker Gang*")+SUMIFS(C:C,D:D,"Biker Gang*")+SUMIFS(J:J,G:G,"Biker Gang*")+SUMIFS(H:H,I:I,"Biker Gang*")</f>
        <v>0</v>
      </c>
    </row>
    <row r="47">
      <c r="A47" t="str">
        <v>Boop Boop</v>
      </c>
      <c r="B47" t="str">
        <f>SUMIFS(C:C,B:B,"Boop Boop*")+SUMIFS(E:E,D:D,"Boop Boop*")+SUMIFS(H:H,G:G,"Boop Boop*")+SUMIFS(J:J,I:I,"Boop Boop*")</f>
        <v>#REF!</v>
      </c>
      <c r="C47">
        <f>SUMIFS(E:E,B:B,"Boop Boop*")+SUMIFS(C:C,D:D,"Boop Boop*")+SUMIFS(J:J,G:G,"Boop Boop*")+SUMIFS(H:H,I:I,"Boop Boop*")</f>
        <v>0</v>
      </c>
    </row>
    <row r="48">
      <c r="A48" t="str">
        <v>Most Improved</v>
      </c>
      <c r="B48" t="str">
        <f>SUMIFS(C:C,B:B,"Most Improved*")+SUMIFS(E:E,D:D,"Most Improved*")+SUMIFS(H:H,G:G,"Most Improved*")+SUMIFS(J:J,I:I,"Most Improved*")</f>
        <v>#REF!</v>
      </c>
      <c r="C48">
        <f>SUMIFS(E:E,B:B,"Most Improved*")+SUMIFS(C:C,D:D,"Most Improved*")+SUMIFS(J:J,G:G,"Most Improved*")+SUMIFS(H:H,I:I,"Most Improved*")</f>
        <v>0</v>
      </c>
    </row>
    <row r="49">
      <c r="A49" t="str">
        <v>Boston T Party</v>
      </c>
      <c r="B49" t="str">
        <f>SUMIFS(C:C,B:B,"Boston T Party*")+SUMIFS(E:E,D:D,"Boston T Party*")+SUMIFS(H:H,G:G,"Boston T Party*")+SUMIFS(J:J,I:I,"Boston T Party*")</f>
        <v>#REF!</v>
      </c>
      <c r="C49">
        <f>SUMIFS(E:E,B:B,"Boston T Party*")+SUMIFS(C:C,D:D,"Boston T Party*")+SUMIFS(J:J,G:G,"Boston T Party*")+SUMIFS(H:H,I:I,"Boston T Party*")</f>
        <v>0</v>
      </c>
    </row>
    <row r="50">
      <c r="A50" t="str">
        <v>Left Corners</v>
      </c>
      <c r="B50" t="str">
        <f>SUMIFS(C:C,B:B,"Left Corners*")+SUMIFS(E:E,D:D,"Left Corners*")+SUMIFS(H:H,G:G,"Left Corners*")+SUMIFS(J:J,I:I,"Left Corners*")</f>
        <v>#REF!</v>
      </c>
      <c r="C50">
        <f>SUMIFS(E:E,B:B,"Left Corners*")+SUMIFS(C:C,D:D,"Left Corners*")+SUMIFS(J:J,G:G,"Left Corners*")+SUMIFS(H:H,I:I,"Left Corners*")</f>
        <v>0</v>
      </c>
    </row>
    <row r="51">
      <c r="A51" t="str">
        <v>Big Bugs</v>
      </c>
      <c r="B51" t="str">
        <f>SUMIFS(C:C,B:B,"Big Bugs*")+SUMIFS(E:E,D:D,"Big Bugs*")+SUMIFS(H:H,G:G,"Big Bugs*")+SUMIFS(J:J,I:I,"Big Bugs*")</f>
        <v>#REF!</v>
      </c>
      <c r="C51">
        <f>SUMIFS(E:E,B:B,"Big Bugs*")+SUMIFS(C:C,D:D,"Big Bugs*")+SUMIFS(J:J,G:G,"Big Bugs*")+SUMIFS(H:H,I:I,"Big Bugs*")</f>
        <v>0</v>
      </c>
    </row>
    <row r="52">
      <c r="A52" t="str">
        <v>Free Agents of Chaos</v>
      </c>
      <c r="B52" t="str">
        <f>SUMIFS(C:C,B:B,"Free Agents of Chaos*")+SUMIFS(E:E,D:D,"Free Agents of Chaos*")+SUMIFS(H:H,G:G,"Free Agents of Chaos*")+SUMIFS(J:J,I:I,"Free Agents of Chaos*")</f>
        <v>#REF!</v>
      </c>
      <c r="C52">
        <f>SUMIFS(E:E,B:B,"Free Agents of Chaos*")+SUMIFS(C:C,D:D,"Free Agents of Chaos*")+SUMIFS(J:J,G:G,"Free Agents of Chaos*")+SUMIFS(H:H,I:I,"Free Agents of Chaos*")</f>
        <v>0</v>
      </c>
    </row>
    <row r="53">
      <c r="A53" t="str">
        <v>Cash Only</v>
      </c>
      <c r="B53" t="str">
        <f>SUMIFS(C:C,B:B,"Cash Only*")+SUMIFS(E:E,D:D,"Cash Only*")+SUMIFS(H:H,G:G,"Cash Only*")+SUMIFS(J:J,I:I,"Cash Only*")</f>
        <v>#REF!</v>
      </c>
      <c r="C53">
        <f>SUMIFS(E:E,B:B,"Cash Only*")+SUMIFS(C:C,D:D,"Cash Only*")+SUMIFS(J:J,G:G,"Cash Only*")+SUMIFS(H:H,I:I,"Cash Only*")</f>
        <v>0</v>
      </c>
    </row>
  </sheetData>
  <mergeCells count="60">
    <mergeCell ref="B25:D25"/>
    <mergeCell ref="G25:I25"/>
    <mergeCell ref="A20:A21"/>
    <mergeCell ref="B21:D21"/>
    <mergeCell ref="G21:I21"/>
    <mergeCell ref="A22:A23"/>
    <mergeCell ref="B23:D23"/>
    <mergeCell ref="G23:I23"/>
    <mergeCell ref="A24:A25"/>
    <mergeCell ref="B31:D31"/>
    <mergeCell ref="G31:I31"/>
    <mergeCell ref="A26:A27"/>
    <mergeCell ref="B27:D27"/>
    <mergeCell ref="G27:I27"/>
    <mergeCell ref="A28:A29"/>
    <mergeCell ref="B29:D29"/>
    <mergeCell ref="G29:I29"/>
    <mergeCell ref="A30:A31"/>
    <mergeCell ref="B37:D37"/>
    <mergeCell ref="G37:I37"/>
    <mergeCell ref="A32:A33"/>
    <mergeCell ref="B33:D33"/>
    <mergeCell ref="G33:I33"/>
    <mergeCell ref="A34:A35"/>
    <mergeCell ref="B35:D35"/>
    <mergeCell ref="G35:I35"/>
    <mergeCell ref="A36:A37"/>
    <mergeCell ref="B7:D7"/>
    <mergeCell ref="G7:I7"/>
    <mergeCell ref="A2:A3"/>
    <mergeCell ref="B3:D3"/>
    <mergeCell ref="G3:I3"/>
    <mergeCell ref="A4:A5"/>
    <mergeCell ref="B5:D5"/>
    <mergeCell ref="G5:I5"/>
    <mergeCell ref="A6:A7"/>
    <mergeCell ref="B13:D13"/>
    <mergeCell ref="G13:I13"/>
    <mergeCell ref="A8:A9"/>
    <mergeCell ref="B9:D9"/>
    <mergeCell ref="G9:I9"/>
    <mergeCell ref="A10:A11"/>
    <mergeCell ref="B11:D11"/>
    <mergeCell ref="G11:I11"/>
    <mergeCell ref="A12:A13"/>
    <mergeCell ref="B19:D19"/>
    <mergeCell ref="G19:I19"/>
    <mergeCell ref="A14:A15"/>
    <mergeCell ref="B15:D15"/>
    <mergeCell ref="G15:I15"/>
    <mergeCell ref="A16:A17"/>
    <mergeCell ref="B17:D17"/>
    <mergeCell ref="G17:I17"/>
    <mergeCell ref="A18:A19"/>
    <mergeCell ref="A38:A39"/>
    <mergeCell ref="B39:D39"/>
    <mergeCell ref="G39:I39"/>
    <mergeCell ref="A40:A41"/>
    <mergeCell ref="B41:D41"/>
    <mergeCell ref="G41:I41"/>
  </mergeCells>
  <pageMargins left="0.75" right="0.75" top="1" bottom="1" header="0" footer="0"/>
  <ignoredErrors>
    <ignoredError numberStoredAsText="1" sqref="A1:L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B1" t="str">
        <v>Court 1</v>
      </c>
      <c r="G1" t="str">
        <v>Court 2</v>
      </c>
    </row>
    <row r="2">
      <c r="A2" t="str">
        <v>Game 01</v>
      </c>
      <c r="B2" t="str">
        <v>Boop Boop</v>
      </c>
      <c r="D2" t="str">
        <v>Biker Gang</v>
      </c>
      <c r="G2" t="str">
        <v>Most Improved</v>
      </c>
      <c r="I2" t="str">
        <v>Boston T Party</v>
      </c>
    </row>
    <row r="3">
      <c r="B3" t="str">
        <v>Refs: Left Corners</v>
      </c>
      <c r="G3" t="str">
        <v>Refs: Big Bugs</v>
      </c>
      <c r="L3" t="str">
        <v>Off: Free Agents of Chaos, Cash Only</v>
      </c>
    </row>
    <row r="4">
      <c r="A4" t="str">
        <v>Game 02</v>
      </c>
      <c r="B4" t="str">
        <v>Left Corners</v>
      </c>
      <c r="D4" t="str">
        <v>Big Bugs</v>
      </c>
      <c r="G4" t="str">
        <v>Free Agents of Chaos</v>
      </c>
      <c r="I4" t="str">
        <v>Cash Only</v>
      </c>
    </row>
    <row r="5">
      <c r="B5" t="str">
        <v>Refs: Biker Gang</v>
      </c>
      <c r="G5" t="str">
        <v>Refs: Boop Boop</v>
      </c>
      <c r="L5" t="str">
        <v>Off: Most Improved, Boston T Party</v>
      </c>
    </row>
    <row r="6">
      <c r="A6" t="str">
        <v>Game 03</v>
      </c>
      <c r="B6" t="str">
        <v>Biker Gang</v>
      </c>
      <c r="D6" t="str">
        <v>Most Improved</v>
      </c>
      <c r="G6" t="str">
        <v>Boop Boop</v>
      </c>
      <c r="I6" t="str">
        <v>Boston T Party</v>
      </c>
    </row>
    <row r="7">
      <c r="B7" t="str">
        <v>Refs: Free Agents of Chaos</v>
      </c>
      <c r="G7" t="str">
        <v>Refs: Cash Only</v>
      </c>
      <c r="L7" t="str">
        <v>Off: Left Corners, Big Bugs</v>
      </c>
    </row>
    <row r="8">
      <c r="A8" t="str">
        <v>Game 04</v>
      </c>
      <c r="B8" t="str">
        <v>Free Agents of Chaos</v>
      </c>
      <c r="D8" t="str">
        <v>Left Corners</v>
      </c>
      <c r="G8" t="str">
        <v>Big Bugs</v>
      </c>
      <c r="I8" t="str">
        <v>Cash Only</v>
      </c>
    </row>
    <row r="9">
      <c r="B9" t="str">
        <v>Refs: Most Improved</v>
      </c>
      <c r="G9" t="str">
        <v>Refs: Boston T Party</v>
      </c>
      <c r="L9" t="str">
        <v>Off: Biker Gang, Boop Boop</v>
      </c>
    </row>
    <row r="10">
      <c r="A10" t="str">
        <v>Game 05</v>
      </c>
      <c r="B10" t="str">
        <v>Boston T Party</v>
      </c>
      <c r="D10" t="str">
        <v>Biker Gang</v>
      </c>
      <c r="G10" t="str">
        <v>Boop Boop</v>
      </c>
      <c r="I10" t="str">
        <v>Most Improved</v>
      </c>
    </row>
    <row r="11">
      <c r="B11" t="str">
        <v>Refs: Left Corners</v>
      </c>
      <c r="G11" t="str">
        <v>Refs: Big Bugs</v>
      </c>
      <c r="L11" t="str">
        <v>Off: Free Agents of Chaos, Cash Only</v>
      </c>
    </row>
    <row r="12">
      <c r="A12" t="str">
        <v>Game 06</v>
      </c>
      <c r="B12" t="str">
        <v>Left Corners</v>
      </c>
      <c r="D12" t="str">
        <v>Cash Only</v>
      </c>
      <c r="G12" t="str">
        <v>Free Agents of Chaos</v>
      </c>
      <c r="I12" t="str">
        <v>Big Bugs</v>
      </c>
    </row>
    <row r="13">
      <c r="B13" t="str">
        <v>Refs: Biker Gang</v>
      </c>
      <c r="G13" t="str">
        <v>Refs: Boop Boop</v>
      </c>
      <c r="L13" t="str">
        <v>Off: Most Improved, Boston T Party</v>
      </c>
    </row>
    <row r="14">
      <c r="A14" t="str">
        <v>Game 07</v>
      </c>
      <c r="B14" t="str">
        <v>Biker Gang</v>
      </c>
      <c r="D14" t="str">
        <v>Boston T Party</v>
      </c>
      <c r="G14" t="str">
        <v>Left Corners</v>
      </c>
      <c r="I14" t="str">
        <v>Boop Boop</v>
      </c>
    </row>
    <row r="15">
      <c r="B15" t="str">
        <v>Refs: Most Improved</v>
      </c>
      <c r="G15" t="str">
        <v>Refs: Free Agents of Chaos</v>
      </c>
      <c r="L15" t="str">
        <v>Off: Big Bugs, Cash Only</v>
      </c>
    </row>
    <row r="16">
      <c r="A16" t="str">
        <v>Game 08</v>
      </c>
      <c r="B16" t="str">
        <v>Most Improved</v>
      </c>
      <c r="D16" t="str">
        <v>Free Agents of Chaos</v>
      </c>
      <c r="G16" t="str">
        <v>Cash Only</v>
      </c>
      <c r="I16" t="str">
        <v>Big Bugs</v>
      </c>
    </row>
    <row r="17">
      <c r="B17" t="str">
        <v>Refs: Boston T Party</v>
      </c>
      <c r="G17" t="str">
        <v>Refs: Biker Gang</v>
      </c>
      <c r="L17" t="str">
        <v>Off: Boop Boop, Left Corners</v>
      </c>
    </row>
    <row r="18">
      <c r="A18" t="str">
        <v>Game 09</v>
      </c>
      <c r="B18" t="str">
        <v>Biker Gang</v>
      </c>
      <c r="D18" t="str">
        <v>Left Corners</v>
      </c>
      <c r="G18" t="str">
        <v>Boston T Party</v>
      </c>
      <c r="I18" t="str">
        <v>Boop Boop</v>
      </c>
    </row>
    <row r="19">
      <c r="B19" t="str">
        <v>Refs: Cash Only</v>
      </c>
      <c r="G19" t="str">
        <v>Refs: Most Improved</v>
      </c>
      <c r="L19" t="str">
        <v>Off: Big Bugs, Free Agents of Chaos</v>
      </c>
    </row>
    <row r="20">
      <c r="A20" t="str">
        <v>Game 10</v>
      </c>
      <c r="B20" t="str">
        <v>Cash Only</v>
      </c>
      <c r="D20" t="str">
        <v>Most Improved</v>
      </c>
      <c r="G20" t="str">
        <v>Big Bugs</v>
      </c>
      <c r="I20" t="str">
        <v>Free Agents of Chaos</v>
      </c>
    </row>
    <row r="21">
      <c r="B21" t="str">
        <v>Refs: Boop Boop</v>
      </c>
      <c r="G21" t="str">
        <v>Refs: Boston T Party</v>
      </c>
      <c r="L21" t="str">
        <v>Off: Biker Gang, Left Corners</v>
      </c>
    </row>
    <row r="22">
      <c r="A22" t="str">
        <v>Game 11</v>
      </c>
      <c r="B22" t="str">
        <v>Left Corners</v>
      </c>
      <c r="D22" t="str">
        <v>Biker Gang</v>
      </c>
      <c r="G22" t="str">
        <v>Big Bugs</v>
      </c>
      <c r="I22" t="str">
        <v>Boop Boop</v>
      </c>
    </row>
    <row r="23">
      <c r="B23" t="str">
        <v>Refs: Free Agents of Chaos</v>
      </c>
      <c r="G23" t="str">
        <v>Refs: Cash Only</v>
      </c>
      <c r="L23" t="str">
        <v>Off: Most Improved, Boston T Party</v>
      </c>
    </row>
    <row r="24">
      <c r="A24" t="str">
        <v>Game 12</v>
      </c>
      <c r="B24" t="str">
        <v>Free Agents of Chaos</v>
      </c>
      <c r="D24" t="str">
        <v>Most Improved</v>
      </c>
      <c r="G24" t="str">
        <v>Boston T Party</v>
      </c>
      <c r="I24" t="str">
        <v>Cash Only</v>
      </c>
    </row>
    <row r="25">
      <c r="B25" t="str">
        <v>Refs: Left Corners</v>
      </c>
      <c r="G25" t="str">
        <v>Refs: Big Bugs</v>
      </c>
      <c r="L25" t="str">
        <v>Off: Biker Gang, Boop Boop</v>
      </c>
    </row>
    <row r="26">
      <c r="A26" t="str">
        <v>Game 13</v>
      </c>
      <c r="B26" t="str">
        <v>Big Bugs</v>
      </c>
      <c r="D26" t="str">
        <v>Biker Gang</v>
      </c>
      <c r="G26" t="str">
        <v>Boop Boop</v>
      </c>
      <c r="I26" t="str">
        <v>Left Corners</v>
      </c>
    </row>
    <row r="27">
      <c r="B27" t="str">
        <v>Refs: Most Improved</v>
      </c>
      <c r="G27" t="str">
        <v>Refs: Boston T Party</v>
      </c>
      <c r="L27" t="str">
        <v>Off: Free Agents of Chaos, Cash Only</v>
      </c>
    </row>
    <row r="28">
      <c r="A28" t="str">
        <v>Game 14</v>
      </c>
      <c r="B28" t="str">
        <v>Most Improved</v>
      </c>
      <c r="D28" t="str">
        <v>Cash Only</v>
      </c>
      <c r="G28" t="str">
        <v>Boston T Party</v>
      </c>
      <c r="I28" t="str">
        <v>Free Agents of Chaos</v>
      </c>
    </row>
    <row r="29">
      <c r="B29" t="str">
        <v>Refs: Biker Gang</v>
      </c>
      <c r="G29" t="str">
        <v>Refs: Boop Boop</v>
      </c>
      <c r="L29" t="str">
        <v>Off: Left Corners, Big Bugs</v>
      </c>
    </row>
    <row r="30">
      <c r="A30" t="str">
        <v>Game 15</v>
      </c>
      <c r="B30" t="str">
        <v>Biker Gang</v>
      </c>
      <c r="D30" t="str">
        <v>Big Bugs</v>
      </c>
      <c r="G30" t="str">
        <v>Free Agents of Chaos</v>
      </c>
      <c r="I30" t="str">
        <v>Boop Boop</v>
      </c>
    </row>
    <row r="31">
      <c r="B31" t="str">
        <v>Refs: Left Corners</v>
      </c>
      <c r="G31" t="str">
        <v>Refs: Cash Only</v>
      </c>
      <c r="L31" t="str">
        <v>Off: Most Improved, Boston T Party</v>
      </c>
    </row>
    <row r="32">
      <c r="A32" t="str">
        <v>Game 16</v>
      </c>
      <c r="B32" t="str">
        <v>Most Improved</v>
      </c>
      <c r="D32" t="str">
        <v>Left Corners</v>
      </c>
      <c r="G32" t="str">
        <v>Cash Only</v>
      </c>
      <c r="I32" t="str">
        <v>Boston T Party</v>
      </c>
    </row>
    <row r="33">
      <c r="B33" t="str">
        <v>Refs: Big Bugs</v>
      </c>
      <c r="G33" t="str">
        <v>Refs: Free Agents of Chaos</v>
      </c>
      <c r="L33" t="str">
        <v>Off: Biker Gang, Boop Boop</v>
      </c>
    </row>
    <row r="34">
      <c r="A34" t="str">
        <v>Game 17</v>
      </c>
      <c r="B34" t="str">
        <v>Biker Gang</v>
      </c>
      <c r="D34" t="str">
        <v>Free Agents of Chaos</v>
      </c>
      <c r="G34" t="str">
        <v>Cash Only</v>
      </c>
      <c r="I34" t="str">
        <v>Boop Boop</v>
      </c>
    </row>
    <row r="35">
      <c r="B35" t="str">
        <v>Refs: Most Improved</v>
      </c>
      <c r="G35" t="str">
        <v>Refs: Boston T Party</v>
      </c>
      <c r="L35" t="str">
        <v>Off: Left Corners, Big Bugs</v>
      </c>
    </row>
    <row r="36">
      <c r="A36" t="str">
        <v>Game 18</v>
      </c>
      <c r="B36" t="str">
        <v>Left Corners</v>
      </c>
      <c r="D36" t="str">
        <v>Most Improved</v>
      </c>
      <c r="G36" t="str">
        <v>Big Bugs</v>
      </c>
      <c r="I36" t="str">
        <v>Boston T Party</v>
      </c>
    </row>
    <row r="37">
      <c r="B37" t="str">
        <v>Refs: Biker Gang</v>
      </c>
      <c r="G37" t="str">
        <v>Refs: Boop Boop</v>
      </c>
      <c r="L37" t="str">
        <v>Off: Free Agents of Chaos, Cash Only</v>
      </c>
    </row>
    <row r="38">
      <c r="A38" t="str">
        <v>Game 19</v>
      </c>
      <c r="B38" t="str">
        <v>Cash Only</v>
      </c>
      <c r="D38" t="str">
        <v>Biker Gang</v>
      </c>
      <c r="G38" t="str">
        <v>Boop Boop</v>
      </c>
      <c r="I38" t="str">
        <v>Free Agents of Chaos</v>
      </c>
    </row>
    <row r="39">
      <c r="B39" t="str">
        <v>Refs: Left Corners</v>
      </c>
      <c r="G39" t="str">
        <v>Refs: Big Bugs</v>
      </c>
      <c r="L39" t="str">
        <v>Off: Most Improved, Boston T Party</v>
      </c>
    </row>
    <row r="40">
      <c r="A40" t="str">
        <v>Game 20</v>
      </c>
      <c r="B40" t="str">
        <v>Most Improved</v>
      </c>
      <c r="D40" t="str">
        <v>Big Bugs</v>
      </c>
      <c r="G40" t="str">
        <v>Boston T Party</v>
      </c>
      <c r="I40" t="str">
        <v>Left Corners</v>
      </c>
    </row>
    <row r="41">
      <c r="B41" t="str">
        <v>Refs: Free Agents of Chaos</v>
      </c>
      <c r="G41" t="str">
        <v>Refs: Cash Only</v>
      </c>
      <c r="L41" t="str">
        <v>Off: Biker Gang, Boop Boop</v>
      </c>
    </row>
    <row r="44">
      <c r="A44" t="str">
        <v>Team Wins/Losses This Week</v>
      </c>
    </row>
    <row r="45">
      <c r="A45" t="str">
        <v>Team Name</v>
      </c>
      <c r="B45" t="str">
        <v>Wins</v>
      </c>
      <c r="C45" t="str">
        <v>Losses</v>
      </c>
    </row>
    <row r="46">
      <c r="A46" t="str">
        <v>Biker Gang</v>
      </c>
      <c r="B46" t="str">
        <f>SUMIFS(C:C,B:B,"Biker Gang*")+SUMIFS(E:E,D:D,"Biker Gang*")+SUMIFS(H:H,G:G,"Biker Gang*")+SUMIFS(J:J,I:I,"Biker Gang*")</f>
        <v>#REF!</v>
      </c>
      <c r="C46">
        <f>SUMIFS(E:E,B:B,"Biker Gang*")+SUMIFS(C:C,D:D,"Biker Gang*")+SUMIFS(J:J,G:G,"Biker Gang*")+SUMIFS(H:H,I:I,"Biker Gang*")</f>
        <v>0</v>
      </c>
    </row>
    <row r="47">
      <c r="A47" t="str">
        <v>Boop Boop</v>
      </c>
      <c r="B47" t="str">
        <f>SUMIFS(C:C,B:B,"Boop Boop*")+SUMIFS(E:E,D:D,"Boop Boop*")+SUMIFS(H:H,G:G,"Boop Boop*")+SUMIFS(J:J,I:I,"Boop Boop*")</f>
        <v>#REF!</v>
      </c>
      <c r="C47">
        <f>SUMIFS(E:E,B:B,"Boop Boop*")+SUMIFS(C:C,D:D,"Boop Boop*")+SUMIFS(J:J,G:G,"Boop Boop*")+SUMIFS(H:H,I:I,"Boop Boop*")</f>
        <v>0</v>
      </c>
    </row>
    <row r="48">
      <c r="A48" t="str">
        <v>Most Improved</v>
      </c>
      <c r="B48" t="str">
        <f>SUMIFS(C:C,B:B,"Most Improved*")+SUMIFS(E:E,D:D,"Most Improved*")+SUMIFS(H:H,G:G,"Most Improved*")+SUMIFS(J:J,I:I,"Most Improved*")</f>
        <v>#REF!</v>
      </c>
      <c r="C48">
        <f>SUMIFS(E:E,B:B,"Most Improved*")+SUMIFS(C:C,D:D,"Most Improved*")+SUMIFS(J:J,G:G,"Most Improved*")+SUMIFS(H:H,I:I,"Most Improved*")</f>
        <v>0</v>
      </c>
    </row>
    <row r="49">
      <c r="A49" t="str">
        <v>Boston T Party</v>
      </c>
      <c r="B49" t="str">
        <f>SUMIFS(C:C,B:B,"Boston T Party*")+SUMIFS(E:E,D:D,"Boston T Party*")+SUMIFS(H:H,G:G,"Boston T Party*")+SUMIFS(J:J,I:I,"Boston T Party*")</f>
        <v>#REF!</v>
      </c>
      <c r="C49">
        <f>SUMIFS(E:E,B:B,"Boston T Party*")+SUMIFS(C:C,D:D,"Boston T Party*")+SUMIFS(J:J,G:G,"Boston T Party*")+SUMIFS(H:H,I:I,"Boston T Party*")</f>
        <v>0</v>
      </c>
    </row>
    <row r="50">
      <c r="A50" t="str">
        <v>Left Corners</v>
      </c>
      <c r="B50" t="str">
        <f>SUMIFS(C:C,B:B,"Left Corners*")+SUMIFS(E:E,D:D,"Left Corners*")+SUMIFS(H:H,G:G,"Left Corners*")+SUMIFS(J:J,I:I,"Left Corners*")</f>
        <v>#REF!</v>
      </c>
      <c r="C50">
        <f>SUMIFS(E:E,B:B,"Left Corners*")+SUMIFS(C:C,D:D,"Left Corners*")+SUMIFS(J:J,G:G,"Left Corners*")+SUMIFS(H:H,I:I,"Left Corners*")</f>
        <v>0</v>
      </c>
    </row>
    <row r="51">
      <c r="A51" t="str">
        <v>Big Bugs</v>
      </c>
      <c r="B51" t="str">
        <f>SUMIFS(C:C,B:B,"Big Bugs*")+SUMIFS(E:E,D:D,"Big Bugs*")+SUMIFS(H:H,G:G,"Big Bugs*")+SUMIFS(J:J,I:I,"Big Bugs*")</f>
        <v>#REF!</v>
      </c>
      <c r="C51">
        <f>SUMIFS(E:E,B:B,"Big Bugs*")+SUMIFS(C:C,D:D,"Big Bugs*")+SUMIFS(J:J,G:G,"Big Bugs*")+SUMIFS(H:H,I:I,"Big Bugs*")</f>
        <v>0</v>
      </c>
    </row>
    <row r="52">
      <c r="A52" t="str">
        <v>Free Agents of Chaos</v>
      </c>
      <c r="B52" t="str">
        <f>SUMIFS(C:C,B:B,"Free Agents of Chaos*")+SUMIFS(E:E,D:D,"Free Agents of Chaos*")+SUMIFS(H:H,G:G,"Free Agents of Chaos*")+SUMIFS(J:J,I:I,"Free Agents of Chaos*")</f>
        <v>#REF!</v>
      </c>
      <c r="C52">
        <f>SUMIFS(E:E,B:B,"Free Agents of Chaos*")+SUMIFS(C:C,D:D,"Free Agents of Chaos*")+SUMIFS(J:J,G:G,"Free Agents of Chaos*")+SUMIFS(H:H,I:I,"Free Agents of Chaos*")</f>
        <v>0</v>
      </c>
    </row>
    <row r="53">
      <c r="A53" t="str">
        <v>Cash Only</v>
      </c>
      <c r="B53" t="str">
        <f>SUMIFS(C:C,B:B,"Cash Only*")+SUMIFS(E:E,D:D,"Cash Only*")+SUMIFS(H:H,G:G,"Cash Only*")+SUMIFS(J:J,I:I,"Cash Only*")</f>
        <v>#REF!</v>
      </c>
      <c r="C53">
        <f>SUMIFS(E:E,B:B,"Cash Only*")+SUMIFS(C:C,D:D,"Cash Only*")+SUMIFS(J:J,G:G,"Cash Only*")+SUMIFS(H:H,I:I,"Cash Only*")</f>
        <v>0</v>
      </c>
    </row>
  </sheetData>
  <mergeCells count="60">
    <mergeCell ref="B25:D25"/>
    <mergeCell ref="G25:I25"/>
    <mergeCell ref="A20:A21"/>
    <mergeCell ref="B21:D21"/>
    <mergeCell ref="G21:I21"/>
    <mergeCell ref="A22:A23"/>
    <mergeCell ref="B23:D23"/>
    <mergeCell ref="G23:I23"/>
    <mergeCell ref="A24:A25"/>
    <mergeCell ref="B31:D31"/>
    <mergeCell ref="G31:I31"/>
    <mergeCell ref="A26:A27"/>
    <mergeCell ref="B27:D27"/>
    <mergeCell ref="G27:I27"/>
    <mergeCell ref="A28:A29"/>
    <mergeCell ref="B29:D29"/>
    <mergeCell ref="G29:I29"/>
    <mergeCell ref="A30:A31"/>
    <mergeCell ref="B37:D37"/>
    <mergeCell ref="G37:I37"/>
    <mergeCell ref="A32:A33"/>
    <mergeCell ref="B33:D33"/>
    <mergeCell ref="G33:I33"/>
    <mergeCell ref="A34:A35"/>
    <mergeCell ref="B35:D35"/>
    <mergeCell ref="G35:I35"/>
    <mergeCell ref="A36:A37"/>
    <mergeCell ref="B7:D7"/>
    <mergeCell ref="G7:I7"/>
    <mergeCell ref="A2:A3"/>
    <mergeCell ref="B3:D3"/>
    <mergeCell ref="G3:I3"/>
    <mergeCell ref="A4:A5"/>
    <mergeCell ref="B5:D5"/>
    <mergeCell ref="G5:I5"/>
    <mergeCell ref="A6:A7"/>
    <mergeCell ref="B13:D13"/>
    <mergeCell ref="G13:I13"/>
    <mergeCell ref="A8:A9"/>
    <mergeCell ref="B9:D9"/>
    <mergeCell ref="G9:I9"/>
    <mergeCell ref="A10:A11"/>
    <mergeCell ref="B11:D11"/>
    <mergeCell ref="G11:I11"/>
    <mergeCell ref="A12:A13"/>
    <mergeCell ref="B19:D19"/>
    <mergeCell ref="G19:I19"/>
    <mergeCell ref="A14:A15"/>
    <mergeCell ref="B15:D15"/>
    <mergeCell ref="G15:I15"/>
    <mergeCell ref="A16:A17"/>
    <mergeCell ref="B17:D17"/>
    <mergeCell ref="G17:I17"/>
    <mergeCell ref="A18:A19"/>
    <mergeCell ref="A38:A39"/>
    <mergeCell ref="B39:D39"/>
    <mergeCell ref="G39:I39"/>
    <mergeCell ref="A40:A41"/>
    <mergeCell ref="B41:D41"/>
    <mergeCell ref="G41:I41"/>
  </mergeCells>
  <pageMargins left="0.75" right="0.75" top="1" bottom="1" header="0" footer="0"/>
  <ignoredErrors>
    <ignoredError numberStoredAsText="1" sqref="A1:L10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B1" t="str">
        <v>Court 1</v>
      </c>
      <c r="G1" t="str">
        <v>Court 2</v>
      </c>
    </row>
    <row r="2">
      <c r="A2" t="str">
        <v>Game 01</v>
      </c>
      <c r="B2" t="str">
        <v>Boop Boop</v>
      </c>
      <c r="D2" t="str">
        <v>Biker Gang</v>
      </c>
      <c r="G2" t="str">
        <v>Most Improved</v>
      </c>
      <c r="I2" t="str">
        <v>Boston T Party</v>
      </c>
    </row>
    <row r="3">
      <c r="B3" t="str">
        <v>Refs: Left Corners</v>
      </c>
      <c r="G3" t="str">
        <v>Refs: Big Bugs</v>
      </c>
      <c r="L3" t="str">
        <v>Off: Free Agents of Chaos, Cash Only</v>
      </c>
    </row>
    <row r="4">
      <c r="A4" t="str">
        <v>Game 02</v>
      </c>
      <c r="B4" t="str">
        <v>Big Bugs</v>
      </c>
      <c r="D4" t="str">
        <v>Left Corners</v>
      </c>
      <c r="G4" t="str">
        <v>Free Agents of Chaos</v>
      </c>
      <c r="I4" t="str">
        <v>Cash Only</v>
      </c>
    </row>
    <row r="5">
      <c r="B5" t="str">
        <v>Refs: Biker Gang</v>
      </c>
      <c r="G5" t="str">
        <v>Refs: Boop Boop</v>
      </c>
      <c r="L5" t="str">
        <v>Off: Most Improved, Boston T Party</v>
      </c>
    </row>
    <row r="6">
      <c r="A6" t="str">
        <v>Game 03</v>
      </c>
      <c r="B6" t="str">
        <v>Boop Boop</v>
      </c>
      <c r="D6" t="str">
        <v>Biker Gang</v>
      </c>
      <c r="G6" t="str">
        <v>Boston T Party</v>
      </c>
      <c r="I6" t="str">
        <v>Most Improved</v>
      </c>
    </row>
    <row r="7">
      <c r="B7" t="str">
        <v>Refs: Free Agents of Chaos</v>
      </c>
      <c r="G7" t="str">
        <v>Refs: Cash Only</v>
      </c>
      <c r="L7" t="str">
        <v>Off: Left Corners, Big Bugs</v>
      </c>
    </row>
    <row r="8">
      <c r="A8" t="str">
        <v>Game 04</v>
      </c>
      <c r="B8" t="str">
        <v>Free Agents of Chaos</v>
      </c>
      <c r="D8" t="str">
        <v>Left Corners</v>
      </c>
      <c r="G8" t="str">
        <v>Big Bugs</v>
      </c>
      <c r="I8" t="str">
        <v>Cash Only</v>
      </c>
    </row>
    <row r="9">
      <c r="B9" t="str">
        <v>Refs: Most Improved</v>
      </c>
      <c r="G9" t="str">
        <v>Refs: Boston T Party</v>
      </c>
      <c r="L9" t="str">
        <v>Off: Biker Gang, Boop Boop</v>
      </c>
    </row>
    <row r="10">
      <c r="A10" t="str">
        <v>Game 05</v>
      </c>
      <c r="B10" t="str">
        <v>Biker Gang</v>
      </c>
      <c r="D10" t="str">
        <v>Most Improved</v>
      </c>
      <c r="G10" t="str">
        <v>Boop Boop</v>
      </c>
      <c r="I10" t="str">
        <v>Boston T Party</v>
      </c>
    </row>
    <row r="11">
      <c r="B11" t="str">
        <v>Refs: Left Corners</v>
      </c>
      <c r="G11" t="str">
        <v>Refs: Big Bugs</v>
      </c>
      <c r="L11" t="str">
        <v>Off: Free Agents of Chaos, Cash Only</v>
      </c>
    </row>
    <row r="12">
      <c r="A12" t="str">
        <v>Game 06</v>
      </c>
      <c r="B12" t="str">
        <v>Cash Only</v>
      </c>
      <c r="D12" t="str">
        <v>Left Corners</v>
      </c>
      <c r="G12" t="str">
        <v>Free Agents of Chaos</v>
      </c>
      <c r="I12" t="str">
        <v>Big Bugs</v>
      </c>
    </row>
    <row r="13">
      <c r="B13" t="str">
        <v>Refs: Biker Gang</v>
      </c>
      <c r="G13" t="str">
        <v>Refs: Boop Boop</v>
      </c>
      <c r="L13" t="str">
        <v>Off: Most Improved, Boston T Party</v>
      </c>
    </row>
    <row r="14">
      <c r="A14" t="str">
        <v>Game 07</v>
      </c>
      <c r="B14" t="str">
        <v>Boston T Party</v>
      </c>
      <c r="D14" t="str">
        <v>Biker Gang</v>
      </c>
      <c r="G14" t="str">
        <v>Most Improved</v>
      </c>
      <c r="I14" t="str">
        <v>Boop Boop</v>
      </c>
    </row>
    <row r="15">
      <c r="B15" t="str">
        <v>Refs: Free Agents of Chaos</v>
      </c>
      <c r="G15" t="str">
        <v>Refs: Cash Only</v>
      </c>
      <c r="L15" t="str">
        <v>Off: Left Corners, Big Bugs</v>
      </c>
    </row>
    <row r="16">
      <c r="A16" t="str">
        <v>Game 08</v>
      </c>
      <c r="B16" t="str">
        <v>Left Corners</v>
      </c>
      <c r="D16" t="str">
        <v>Biker Gang</v>
      </c>
      <c r="G16" t="str">
        <v>Cash Only</v>
      </c>
      <c r="I16" t="str">
        <v>Free Agents of Chaos</v>
      </c>
    </row>
    <row r="17">
      <c r="B17" t="str">
        <v>Refs: Most Improved</v>
      </c>
      <c r="G17" t="str">
        <v>Refs: Boston T Party</v>
      </c>
      <c r="L17" t="str">
        <v>Off: Boop Boop, Big Bugs</v>
      </c>
    </row>
    <row r="18">
      <c r="A18" t="str">
        <v>Game 09</v>
      </c>
      <c r="B18" t="str">
        <v>Left Corners</v>
      </c>
      <c r="D18" t="str">
        <v>Boop Boop</v>
      </c>
      <c r="G18" t="str">
        <v>Most Improved</v>
      </c>
      <c r="I18" t="str">
        <v>Big Bugs</v>
      </c>
    </row>
    <row r="19">
      <c r="B19" t="str">
        <v>Refs: Biker Gang</v>
      </c>
      <c r="G19" t="str">
        <v>Refs: Boston T Party</v>
      </c>
      <c r="L19" t="str">
        <v>Off: Free Agents of Chaos, Cash Only</v>
      </c>
    </row>
    <row r="20">
      <c r="A20" t="str">
        <v>Game 10</v>
      </c>
      <c r="B20" t="str">
        <v>Biker Gang</v>
      </c>
      <c r="D20" t="str">
        <v>Big Bugs</v>
      </c>
      <c r="G20" t="str">
        <v>Free Agents of Chaos</v>
      </c>
      <c r="I20" t="str">
        <v>Boston T Party</v>
      </c>
    </row>
    <row r="21">
      <c r="B21" t="str">
        <v>Refs: Boop Boop</v>
      </c>
      <c r="G21" t="str">
        <v>Refs: Most Improved</v>
      </c>
      <c r="L21" t="str">
        <v>Off: Left Corners, Cash Only</v>
      </c>
    </row>
    <row r="22">
      <c r="A22" t="str">
        <v>Game 11</v>
      </c>
      <c r="B22" t="str">
        <v>Big Bugs</v>
      </c>
      <c r="D22" t="str">
        <v>Boop Boop</v>
      </c>
      <c r="G22" t="str">
        <v>Cash Only</v>
      </c>
      <c r="I22" t="str">
        <v>Most Improved</v>
      </c>
    </row>
    <row r="23">
      <c r="B23" t="str">
        <v>Refs: Left Corners</v>
      </c>
      <c r="G23" t="str">
        <v>Refs: Free Agents of Chaos</v>
      </c>
      <c r="L23" t="str">
        <v>Off: Biker Gang, Boston T Party</v>
      </c>
    </row>
    <row r="24">
      <c r="A24" t="str">
        <v>Game 12</v>
      </c>
      <c r="B24" t="str">
        <v>Boston T Party</v>
      </c>
      <c r="D24" t="str">
        <v>Cash Only</v>
      </c>
      <c r="G24" t="str">
        <v>Left Corners</v>
      </c>
      <c r="I24" t="str">
        <v>Free Agents of Chaos</v>
      </c>
    </row>
    <row r="25">
      <c r="B25" t="str">
        <v>Refs: Big Bugs</v>
      </c>
      <c r="G25" t="str">
        <v>Refs: Biker Gang</v>
      </c>
      <c r="L25" t="str">
        <v>Off: Boop Boop, Most Improved</v>
      </c>
    </row>
    <row r="26">
      <c r="A26" t="str">
        <v>Game 13</v>
      </c>
      <c r="B26" t="str">
        <v>Biker Gang</v>
      </c>
      <c r="D26" t="str">
        <v>Free Agents of Chaos</v>
      </c>
      <c r="G26" t="str">
        <v>Boop Boop</v>
      </c>
      <c r="I26" t="str">
        <v>Big Bugs</v>
      </c>
    </row>
    <row r="27">
      <c r="B27" t="str">
        <v>Refs: Cash Only</v>
      </c>
      <c r="G27" t="str">
        <v>Refs: Most Improved</v>
      </c>
      <c r="L27" t="str">
        <v>Off: Boston T Party, Left Corners</v>
      </c>
    </row>
    <row r="28">
      <c r="A28" t="str">
        <v>Game 14</v>
      </c>
      <c r="B28" t="str">
        <v>Biker Gang</v>
      </c>
      <c r="D28" t="str">
        <v>Cash Only</v>
      </c>
      <c r="G28" t="str">
        <v>Left Corners</v>
      </c>
      <c r="I28" t="str">
        <v>Most Improved</v>
      </c>
    </row>
    <row r="29">
      <c r="B29" t="str">
        <v>Refs: Boop Boop</v>
      </c>
      <c r="G29" t="str">
        <v>Refs: Boston T Party</v>
      </c>
      <c r="L29" t="str">
        <v>Off: Big Bugs, Free Agents of Chaos</v>
      </c>
    </row>
    <row r="30">
      <c r="A30" t="str">
        <v>Game 15</v>
      </c>
      <c r="B30" t="str">
        <v>Free Agents of Chaos</v>
      </c>
      <c r="D30" t="str">
        <v>Boop Boop</v>
      </c>
      <c r="G30" t="str">
        <v>Boston T Party</v>
      </c>
      <c r="I30" t="str">
        <v>Left Corners</v>
      </c>
    </row>
    <row r="31">
      <c r="B31" t="str">
        <v>Refs: Big Bugs</v>
      </c>
      <c r="G31" t="str">
        <v>Refs: Cash Only</v>
      </c>
      <c r="L31" t="str">
        <v>Off: Biker Gang, Most Improved</v>
      </c>
    </row>
    <row r="32">
      <c r="A32" t="str">
        <v>Game 16</v>
      </c>
      <c r="B32" t="str">
        <v>Cash Only</v>
      </c>
      <c r="D32" t="str">
        <v>Biker Gang</v>
      </c>
      <c r="G32" t="str">
        <v>Big Bugs</v>
      </c>
      <c r="I32" t="str">
        <v>Most Improved</v>
      </c>
    </row>
    <row r="33">
      <c r="B33" t="str">
        <v>Refs: Left Corners</v>
      </c>
      <c r="G33" t="str">
        <v>Refs: Free Agents of Chaos</v>
      </c>
      <c r="L33" t="str">
        <v>Off: Boop Boop, Boston T Party</v>
      </c>
    </row>
    <row r="34">
      <c r="A34" t="str">
        <v>Game 17</v>
      </c>
      <c r="B34" t="str">
        <v>Cash Only</v>
      </c>
      <c r="D34" t="str">
        <v>Boop Boop</v>
      </c>
      <c r="G34" t="str">
        <v>Left Corners</v>
      </c>
      <c r="I34" t="str">
        <v>Boston T Party</v>
      </c>
    </row>
    <row r="35">
      <c r="B35" t="str">
        <v>Refs: Biker Gang</v>
      </c>
      <c r="G35" t="str">
        <v>Refs: Most Improved</v>
      </c>
      <c r="L35" t="str">
        <v>Off: Big Bugs, Free Agents of Chaos</v>
      </c>
    </row>
    <row r="36">
      <c r="A36" t="str">
        <v>Game 18</v>
      </c>
      <c r="B36" t="str">
        <v>Most Improved</v>
      </c>
      <c r="D36" t="str">
        <v>Free Agents of Chaos</v>
      </c>
      <c r="G36" t="str">
        <v>Big Bugs</v>
      </c>
      <c r="I36" t="str">
        <v>Boston T Party</v>
      </c>
    </row>
    <row r="37">
      <c r="B37" t="str">
        <v>Refs: Boop Boop</v>
      </c>
      <c r="G37" t="str">
        <v>Refs: Left Corners</v>
      </c>
      <c r="L37" t="str">
        <v>Off: Biker Gang, Cash Only</v>
      </c>
    </row>
    <row r="38">
      <c r="A38" t="str">
        <v>Game 19</v>
      </c>
      <c r="B38" t="str">
        <v>Biker Gang</v>
      </c>
      <c r="D38" t="str">
        <v>Free Agents of Chaos</v>
      </c>
      <c r="G38" t="str">
        <v>Boop Boop</v>
      </c>
      <c r="I38" t="str">
        <v>Cash Only</v>
      </c>
    </row>
    <row r="39">
      <c r="B39" t="str">
        <v>Refs: Boston T Party</v>
      </c>
      <c r="G39" t="str">
        <v>Refs: Big Bugs</v>
      </c>
      <c r="L39" t="str">
        <v>Off: Most Improved, Left Corners</v>
      </c>
    </row>
    <row r="40">
      <c r="A40" t="str">
        <v>Game 20</v>
      </c>
      <c r="B40" t="str">
        <v>Most Improved</v>
      </c>
      <c r="D40" t="str">
        <v>Left Corners</v>
      </c>
      <c r="G40" t="str">
        <v>Boston T Party</v>
      </c>
      <c r="I40" t="str">
        <v>Big Bugs</v>
      </c>
    </row>
    <row r="41">
      <c r="B41" t="str">
        <v>Refs: Free Agents of Chaos</v>
      </c>
      <c r="G41" t="str">
        <v>Refs: Cash Only</v>
      </c>
      <c r="L41" t="str">
        <v>Off: Biker Gang, Boop Boop</v>
      </c>
    </row>
    <row r="44">
      <c r="A44" t="str">
        <v>Team Wins/Losses This Week</v>
      </c>
    </row>
    <row r="45">
      <c r="A45" t="str">
        <v>Team Name</v>
      </c>
      <c r="B45" t="str">
        <v>Wins</v>
      </c>
      <c r="C45" t="str">
        <v>Losses</v>
      </c>
    </row>
    <row r="46">
      <c r="A46" t="str">
        <v>Biker Gang</v>
      </c>
      <c r="B46" t="str">
        <f>SUMIFS(C:C,B:B,"Biker Gang*")+SUMIFS(E:E,D:D,"Biker Gang*")+SUMIFS(H:H,G:G,"Biker Gang*")+SUMIFS(J:J,I:I,"Biker Gang*")</f>
        <v>#REF!</v>
      </c>
      <c r="C46">
        <f>SUMIFS(E:E,B:B,"Biker Gang*")+SUMIFS(C:C,D:D,"Biker Gang*")+SUMIFS(J:J,G:G,"Biker Gang*")+SUMIFS(H:H,I:I,"Biker Gang*")</f>
        <v>0</v>
      </c>
    </row>
    <row r="47">
      <c r="A47" t="str">
        <v>Boop Boop</v>
      </c>
      <c r="B47" t="str">
        <f>SUMIFS(C:C,B:B,"Boop Boop*")+SUMIFS(E:E,D:D,"Boop Boop*")+SUMIFS(H:H,G:G,"Boop Boop*")+SUMIFS(J:J,I:I,"Boop Boop*")</f>
        <v>#REF!</v>
      </c>
      <c r="C47">
        <f>SUMIFS(E:E,B:B,"Boop Boop*")+SUMIFS(C:C,D:D,"Boop Boop*")+SUMIFS(J:J,G:G,"Boop Boop*")+SUMIFS(H:H,I:I,"Boop Boop*")</f>
        <v>0</v>
      </c>
    </row>
    <row r="48">
      <c r="A48" t="str">
        <v>Most Improved</v>
      </c>
      <c r="B48" t="str">
        <f>SUMIFS(C:C,B:B,"Most Improved*")+SUMIFS(E:E,D:D,"Most Improved*")+SUMIFS(H:H,G:G,"Most Improved*")+SUMIFS(J:J,I:I,"Most Improved*")</f>
        <v>#REF!</v>
      </c>
      <c r="C48">
        <f>SUMIFS(E:E,B:B,"Most Improved*")+SUMIFS(C:C,D:D,"Most Improved*")+SUMIFS(J:J,G:G,"Most Improved*")+SUMIFS(H:H,I:I,"Most Improved*")</f>
        <v>0</v>
      </c>
    </row>
    <row r="49">
      <c r="A49" t="str">
        <v>Boston T Party</v>
      </c>
      <c r="B49" t="str">
        <f>SUMIFS(C:C,B:B,"Boston T Party*")+SUMIFS(E:E,D:D,"Boston T Party*")+SUMIFS(H:H,G:G,"Boston T Party*")+SUMIFS(J:J,I:I,"Boston T Party*")</f>
        <v>#REF!</v>
      </c>
      <c r="C49">
        <f>SUMIFS(E:E,B:B,"Boston T Party*")+SUMIFS(C:C,D:D,"Boston T Party*")+SUMIFS(J:J,G:G,"Boston T Party*")+SUMIFS(H:H,I:I,"Boston T Party*")</f>
        <v>0</v>
      </c>
    </row>
    <row r="50">
      <c r="A50" t="str">
        <v>Left Corners</v>
      </c>
      <c r="B50" t="str">
        <f>SUMIFS(C:C,B:B,"Left Corners*")+SUMIFS(E:E,D:D,"Left Corners*")+SUMIFS(H:H,G:G,"Left Corners*")+SUMIFS(J:J,I:I,"Left Corners*")</f>
        <v>#REF!</v>
      </c>
      <c r="C50">
        <f>SUMIFS(E:E,B:B,"Left Corners*")+SUMIFS(C:C,D:D,"Left Corners*")+SUMIFS(J:J,G:G,"Left Corners*")+SUMIFS(H:H,I:I,"Left Corners*")</f>
        <v>0</v>
      </c>
    </row>
    <row r="51">
      <c r="A51" t="str">
        <v>Big Bugs</v>
      </c>
      <c r="B51" t="str">
        <f>SUMIFS(C:C,B:B,"Big Bugs*")+SUMIFS(E:E,D:D,"Big Bugs*")+SUMIFS(H:H,G:G,"Big Bugs*")+SUMIFS(J:J,I:I,"Big Bugs*")</f>
        <v>#REF!</v>
      </c>
      <c r="C51">
        <f>SUMIFS(E:E,B:B,"Big Bugs*")+SUMIFS(C:C,D:D,"Big Bugs*")+SUMIFS(J:J,G:G,"Big Bugs*")+SUMIFS(H:H,I:I,"Big Bugs*")</f>
        <v>0</v>
      </c>
    </row>
    <row r="52">
      <c r="A52" t="str">
        <v>Free Agents of Chaos</v>
      </c>
      <c r="B52" t="str">
        <f>SUMIFS(C:C,B:B,"Free Agents of Chaos*")+SUMIFS(E:E,D:D,"Free Agents of Chaos*")+SUMIFS(H:H,G:G,"Free Agents of Chaos*")+SUMIFS(J:J,I:I,"Free Agents of Chaos*")</f>
        <v>#REF!</v>
      </c>
      <c r="C52">
        <f>SUMIFS(E:E,B:B,"Free Agents of Chaos*")+SUMIFS(C:C,D:D,"Free Agents of Chaos*")+SUMIFS(J:J,G:G,"Free Agents of Chaos*")+SUMIFS(H:H,I:I,"Free Agents of Chaos*")</f>
        <v>0</v>
      </c>
    </row>
    <row r="53">
      <c r="A53" t="str">
        <v>Cash Only</v>
      </c>
      <c r="B53" t="str">
        <f>SUMIFS(C:C,B:B,"Cash Only*")+SUMIFS(E:E,D:D,"Cash Only*")+SUMIFS(H:H,G:G,"Cash Only*")+SUMIFS(J:J,I:I,"Cash Only*")</f>
        <v>#REF!</v>
      </c>
      <c r="C53">
        <f>SUMIFS(E:E,B:B,"Cash Only*")+SUMIFS(C:C,D:D,"Cash Only*")+SUMIFS(J:J,G:G,"Cash Only*")+SUMIFS(H:H,I:I,"Cash Only*")</f>
        <v>0</v>
      </c>
    </row>
  </sheetData>
  <mergeCells count="60">
    <mergeCell ref="B25:D25"/>
    <mergeCell ref="G25:I25"/>
    <mergeCell ref="A20:A21"/>
    <mergeCell ref="B21:D21"/>
    <mergeCell ref="G21:I21"/>
    <mergeCell ref="A22:A23"/>
    <mergeCell ref="B23:D23"/>
    <mergeCell ref="G23:I23"/>
    <mergeCell ref="A24:A25"/>
    <mergeCell ref="B31:D31"/>
    <mergeCell ref="G31:I31"/>
    <mergeCell ref="A26:A27"/>
    <mergeCell ref="B27:D27"/>
    <mergeCell ref="G27:I27"/>
    <mergeCell ref="A28:A29"/>
    <mergeCell ref="B29:D29"/>
    <mergeCell ref="G29:I29"/>
    <mergeCell ref="A30:A31"/>
    <mergeCell ref="B37:D37"/>
    <mergeCell ref="G37:I37"/>
    <mergeCell ref="A32:A33"/>
    <mergeCell ref="B33:D33"/>
    <mergeCell ref="G33:I33"/>
    <mergeCell ref="A34:A35"/>
    <mergeCell ref="B35:D35"/>
    <mergeCell ref="G35:I35"/>
    <mergeCell ref="A36:A37"/>
    <mergeCell ref="B7:D7"/>
    <mergeCell ref="G7:I7"/>
    <mergeCell ref="A2:A3"/>
    <mergeCell ref="B3:D3"/>
    <mergeCell ref="G3:I3"/>
    <mergeCell ref="A4:A5"/>
    <mergeCell ref="B5:D5"/>
    <mergeCell ref="G5:I5"/>
    <mergeCell ref="A6:A7"/>
    <mergeCell ref="B13:D13"/>
    <mergeCell ref="G13:I13"/>
    <mergeCell ref="A8:A9"/>
    <mergeCell ref="B9:D9"/>
    <mergeCell ref="G9:I9"/>
    <mergeCell ref="A10:A11"/>
    <mergeCell ref="B11:D11"/>
    <mergeCell ref="G11:I11"/>
    <mergeCell ref="A12:A13"/>
    <mergeCell ref="B19:D19"/>
    <mergeCell ref="G19:I19"/>
    <mergeCell ref="A14:A15"/>
    <mergeCell ref="B15:D15"/>
    <mergeCell ref="G15:I15"/>
    <mergeCell ref="A16:A17"/>
    <mergeCell ref="B17:D17"/>
    <mergeCell ref="G17:I17"/>
    <mergeCell ref="A18:A19"/>
    <mergeCell ref="A38:A39"/>
    <mergeCell ref="B39:D39"/>
    <mergeCell ref="G39:I39"/>
    <mergeCell ref="A40:A41"/>
    <mergeCell ref="B41:D41"/>
    <mergeCell ref="G41:I41"/>
  </mergeCells>
  <pageMargins left="0.75" right="0.75" top="1" bottom="1" header="0" footer="0"/>
  <ignoredErrors>
    <ignoredError numberStoredAsText="1" sqref="A1:L10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B1" t="str">
        <v>Court 1</v>
      </c>
      <c r="G1" t="str">
        <v>Court 2</v>
      </c>
    </row>
    <row r="2">
      <c r="A2" t="str">
        <v>Game 01</v>
      </c>
      <c r="B2" t="str">
        <v>Biker Gang</v>
      </c>
      <c r="D2" t="str">
        <v>Boop Boop</v>
      </c>
      <c r="G2" t="str">
        <v>Most Improved</v>
      </c>
      <c r="I2" t="str">
        <v>Boston T Party</v>
      </c>
    </row>
    <row r="3">
      <c r="B3" t="str">
        <v>Refs: Left Corners</v>
      </c>
      <c r="G3" t="str">
        <v>Refs: Big Bugs</v>
      </c>
      <c r="L3" t="str">
        <v>Off: Free Agents of Chaos, Cash Only</v>
      </c>
    </row>
    <row r="4">
      <c r="A4" t="str">
        <v>Game 02</v>
      </c>
      <c r="B4" t="str">
        <v>Left Corners</v>
      </c>
      <c r="D4" t="str">
        <v>Big Bugs</v>
      </c>
      <c r="G4" t="str">
        <v>Free Agents of Chaos</v>
      </c>
      <c r="I4" t="str">
        <v>Cash Only</v>
      </c>
    </row>
    <row r="5">
      <c r="B5" t="str">
        <v>Refs: Biker Gang</v>
      </c>
      <c r="G5" t="str">
        <v>Refs: Boop Boop</v>
      </c>
      <c r="L5" t="str">
        <v>Off: Most Improved, Boston T Party</v>
      </c>
    </row>
    <row r="6">
      <c r="A6" t="str">
        <v>Game 03</v>
      </c>
      <c r="B6" t="str">
        <v>Biker Gang</v>
      </c>
      <c r="D6" t="str">
        <v>Most Improved</v>
      </c>
      <c r="G6" t="str">
        <v>Boop Boop</v>
      </c>
      <c r="I6" t="str">
        <v>Boston T Party</v>
      </c>
    </row>
    <row r="7">
      <c r="B7" t="str">
        <v>Refs: Free Agents of Chaos</v>
      </c>
      <c r="G7" t="str">
        <v>Refs: Cash Only</v>
      </c>
      <c r="L7" t="str">
        <v>Off: Left Corners, Big Bugs</v>
      </c>
    </row>
    <row r="8">
      <c r="A8" t="str">
        <v>Game 04</v>
      </c>
      <c r="B8" t="str">
        <v>Left Corners</v>
      </c>
      <c r="D8" t="str">
        <v>Free Agents of Chaos</v>
      </c>
      <c r="G8" t="str">
        <v>Big Bugs</v>
      </c>
      <c r="I8" t="str">
        <v>Cash Only</v>
      </c>
    </row>
    <row r="9">
      <c r="B9" t="str">
        <v>Refs: Most Improved</v>
      </c>
      <c r="G9" t="str">
        <v>Refs: Boston T Party</v>
      </c>
      <c r="L9" t="str">
        <v>Off: Biker Gang, Boop Boop</v>
      </c>
    </row>
    <row r="10">
      <c r="A10" t="str">
        <v>Game 05</v>
      </c>
      <c r="B10" t="str">
        <v>Biker Gang</v>
      </c>
      <c r="D10" t="str">
        <v>Most Improved</v>
      </c>
      <c r="G10" t="str">
        <v>Boston T Party</v>
      </c>
      <c r="I10" t="str">
        <v>Boop Boop</v>
      </c>
    </row>
    <row r="11">
      <c r="B11" t="str">
        <v>Refs: Left Corners</v>
      </c>
      <c r="G11" t="str">
        <v>Refs: Big Bugs</v>
      </c>
      <c r="L11" t="str">
        <v>Off: Free Agents of Chaos, Cash Only</v>
      </c>
    </row>
    <row r="12">
      <c r="A12" t="str">
        <v>Game 06</v>
      </c>
      <c r="B12" t="str">
        <v>Free Agents of Chaos</v>
      </c>
      <c r="D12" t="str">
        <v>Left Corners</v>
      </c>
      <c r="G12" t="str">
        <v>Cash Only</v>
      </c>
      <c r="I12" t="str">
        <v>Big Bugs</v>
      </c>
    </row>
    <row r="13">
      <c r="B13" t="str">
        <v>Refs: Biker Gang</v>
      </c>
      <c r="G13" t="str">
        <v>Refs: Boop Boop</v>
      </c>
      <c r="L13" t="str">
        <v>Off: Most Improved, Boston T Party</v>
      </c>
    </row>
    <row r="14">
      <c r="A14" t="str">
        <v>Game 07</v>
      </c>
      <c r="B14" t="str">
        <v>Boston T Party</v>
      </c>
      <c r="D14" t="str">
        <v>Biker Gang</v>
      </c>
      <c r="G14" t="str">
        <v>Most Improved</v>
      </c>
      <c r="I14" t="str">
        <v>Boop Boop</v>
      </c>
    </row>
    <row r="15">
      <c r="B15" t="str">
        <v>Refs: Free Agents of Chaos</v>
      </c>
      <c r="G15" t="str">
        <v>Refs: Cash Only</v>
      </c>
      <c r="L15" t="str">
        <v>Off: Left Corners, Big Bugs</v>
      </c>
    </row>
    <row r="16">
      <c r="A16" t="str">
        <v>Game 08</v>
      </c>
      <c r="B16" t="str">
        <v>Cash Only</v>
      </c>
      <c r="D16" t="str">
        <v>Left Corners</v>
      </c>
      <c r="G16" t="str">
        <v>Free Agents of Chaos</v>
      </c>
      <c r="I16" t="str">
        <v>Big Bugs</v>
      </c>
    </row>
    <row r="17">
      <c r="B17" t="str">
        <v>Refs: Most Improved</v>
      </c>
      <c r="G17" t="str">
        <v>Refs: Boston T Party</v>
      </c>
      <c r="L17" t="str">
        <v>Off: Biker Gang, Boop Boop</v>
      </c>
    </row>
    <row r="18">
      <c r="A18" t="str">
        <v>Game 09</v>
      </c>
      <c r="B18" t="str">
        <v>Biker Gang</v>
      </c>
      <c r="D18" t="str">
        <v>Boston T Party</v>
      </c>
      <c r="G18" t="str">
        <v>Boop Boop</v>
      </c>
      <c r="I18" t="str">
        <v>Most Improved</v>
      </c>
    </row>
    <row r="19">
      <c r="B19" t="str">
        <v>Refs: Left Corners</v>
      </c>
      <c r="G19" t="str">
        <v>Refs: Big Bugs</v>
      </c>
      <c r="L19" t="str">
        <v>Off: Free Agents of Chaos, Cash Only</v>
      </c>
    </row>
    <row r="20">
      <c r="A20" t="str">
        <v>Game 10</v>
      </c>
      <c r="B20" t="str">
        <v>Left Corners</v>
      </c>
      <c r="D20" t="str">
        <v>Cash Only</v>
      </c>
      <c r="G20" t="str">
        <v>Big Bugs</v>
      </c>
      <c r="I20" t="str">
        <v>Free Agents of Chaos</v>
      </c>
    </row>
    <row r="21">
      <c r="B21" t="str">
        <v>Refs: Biker Gang</v>
      </c>
      <c r="G21" t="str">
        <v>Refs: Boop Boop</v>
      </c>
      <c r="L21" t="str">
        <v>Off: Most Improved, Boston T Party</v>
      </c>
    </row>
    <row r="22">
      <c r="A22" t="str">
        <v>Game 11</v>
      </c>
      <c r="B22" t="str">
        <v>Biker Gang</v>
      </c>
      <c r="D22" t="str">
        <v>Left Corners</v>
      </c>
      <c r="G22" t="str">
        <v>Boop Boop</v>
      </c>
      <c r="I22" t="str">
        <v>Big Bugs</v>
      </c>
    </row>
    <row r="23">
      <c r="B23" t="str">
        <v>Refs: Most Improved</v>
      </c>
      <c r="G23" t="str">
        <v>Refs: Boston T Party</v>
      </c>
      <c r="L23" t="str">
        <v>Off: Free Agents of Chaos, Cash Only</v>
      </c>
    </row>
    <row r="24">
      <c r="A24" t="str">
        <v>Game 12</v>
      </c>
      <c r="B24" t="str">
        <v>Most Improved</v>
      </c>
      <c r="D24" t="str">
        <v>Free Agents of Chaos</v>
      </c>
      <c r="G24" t="str">
        <v>Boston T Party</v>
      </c>
      <c r="I24" t="str">
        <v>Cash Only</v>
      </c>
    </row>
    <row r="25">
      <c r="B25" t="str">
        <v>Refs: Biker Gang</v>
      </c>
      <c r="G25" t="str">
        <v>Refs: Boop Boop</v>
      </c>
      <c r="L25" t="str">
        <v>Off: Left Corners, Big Bugs</v>
      </c>
    </row>
    <row r="26">
      <c r="A26" t="str">
        <v>Game 13</v>
      </c>
      <c r="B26" t="str">
        <v>Left Corners</v>
      </c>
      <c r="D26" t="str">
        <v>Biker Gang</v>
      </c>
      <c r="G26" t="str">
        <v>Big Bugs</v>
      </c>
      <c r="I26" t="str">
        <v>Boop Boop</v>
      </c>
    </row>
    <row r="27">
      <c r="B27" t="str">
        <v>Refs: Free Agents of Chaos</v>
      </c>
      <c r="G27" t="str">
        <v>Refs: Cash Only</v>
      </c>
      <c r="L27" t="str">
        <v>Off: Most Improved, Boston T Party</v>
      </c>
    </row>
    <row r="28">
      <c r="A28" t="str">
        <v>Game 14</v>
      </c>
      <c r="B28" t="str">
        <v>Free Agents of Chaos</v>
      </c>
      <c r="D28" t="str">
        <v>Most Improved</v>
      </c>
      <c r="G28" t="str">
        <v>Cash Only</v>
      </c>
      <c r="I28" t="str">
        <v>Boston T Party</v>
      </c>
    </row>
    <row r="29">
      <c r="B29" t="str">
        <v>Refs: Left Corners</v>
      </c>
      <c r="G29" t="str">
        <v>Refs: Big Bugs</v>
      </c>
      <c r="L29" t="str">
        <v>Off: Biker Gang, Boop Boop</v>
      </c>
    </row>
    <row r="30">
      <c r="A30" t="str">
        <v>Game 15</v>
      </c>
      <c r="B30" t="str">
        <v>Big Bugs</v>
      </c>
      <c r="D30" t="str">
        <v>Biker Gang</v>
      </c>
      <c r="G30" t="str">
        <v>Boop Boop</v>
      </c>
      <c r="I30" t="str">
        <v>Left Corners</v>
      </c>
    </row>
    <row r="31">
      <c r="B31" t="str">
        <v>Refs: Most Improved</v>
      </c>
      <c r="G31" t="str">
        <v>Refs: Boston T Party</v>
      </c>
      <c r="L31" t="str">
        <v>Off: Free Agents of Chaos, Cash Only</v>
      </c>
    </row>
    <row r="32">
      <c r="A32" t="str">
        <v>Game 16</v>
      </c>
      <c r="B32" t="str">
        <v>Most Improved</v>
      </c>
      <c r="D32" t="str">
        <v>Cash Only</v>
      </c>
      <c r="G32" t="str">
        <v>Boston T Party</v>
      </c>
      <c r="I32" t="str">
        <v>Free Agents of Chaos</v>
      </c>
    </row>
    <row r="33">
      <c r="B33" t="str">
        <v>Refs: Biker Gang</v>
      </c>
      <c r="G33" t="str">
        <v>Refs: Boop Boop</v>
      </c>
      <c r="L33" t="str">
        <v>Off: Left Corners, Big Bugs</v>
      </c>
    </row>
    <row r="34">
      <c r="A34" t="str">
        <v>Game 17</v>
      </c>
      <c r="B34" t="str">
        <v>Free Agents of Chaos</v>
      </c>
      <c r="D34" t="str">
        <v>Biker Gang</v>
      </c>
      <c r="G34" t="str">
        <v>Cash Only</v>
      </c>
      <c r="I34" t="str">
        <v>Boop Boop</v>
      </c>
    </row>
    <row r="35">
      <c r="B35" t="str">
        <v>Refs: Most Improved</v>
      </c>
      <c r="G35" t="str">
        <v>Refs: Boston T Party</v>
      </c>
      <c r="L35" t="str">
        <v>Off: Left Corners, Big Bugs</v>
      </c>
    </row>
    <row r="36">
      <c r="A36" t="str">
        <v>Game 18</v>
      </c>
      <c r="B36" t="str">
        <v>Left Corners</v>
      </c>
      <c r="D36" t="str">
        <v>Most Improved</v>
      </c>
      <c r="G36" t="str">
        <v>Big Bugs</v>
      </c>
      <c r="I36" t="str">
        <v>Boston T Party</v>
      </c>
    </row>
    <row r="37">
      <c r="B37" t="str">
        <v>Refs: Free Agents of Chaos</v>
      </c>
      <c r="G37" t="str">
        <v>Refs: Cash Only</v>
      </c>
      <c r="L37" t="str">
        <v>Off: Biker Gang, Boop Boop</v>
      </c>
    </row>
    <row r="38">
      <c r="A38" t="str">
        <v>Game 19</v>
      </c>
      <c r="B38" t="str">
        <v>Cash Only</v>
      </c>
      <c r="D38" t="str">
        <v>Biker Gang</v>
      </c>
      <c r="G38" t="str">
        <v>Boop Boop</v>
      </c>
      <c r="I38" t="str">
        <v>Free Agents of Chaos</v>
      </c>
    </row>
    <row r="39">
      <c r="B39" t="str">
        <v>Refs: Left Corners</v>
      </c>
      <c r="G39" t="str">
        <v>Refs: Big Bugs</v>
      </c>
      <c r="L39" t="str">
        <v>Off: Most Improved, Boston T Party</v>
      </c>
    </row>
    <row r="40">
      <c r="A40" t="str">
        <v>Game 20</v>
      </c>
      <c r="B40" t="str">
        <v>Most Improved</v>
      </c>
      <c r="D40" t="str">
        <v>Big Bugs</v>
      </c>
      <c r="G40" t="str">
        <v>Boston T Party</v>
      </c>
      <c r="I40" t="str">
        <v>Left Corners</v>
      </c>
    </row>
    <row r="41">
      <c r="B41" t="str">
        <v>Refs: Free Agents of Chaos</v>
      </c>
      <c r="G41" t="str">
        <v>Refs: Cash Only</v>
      </c>
      <c r="L41" t="str">
        <v>Off: Biker Gang, Boop Boop</v>
      </c>
    </row>
    <row r="44">
      <c r="A44" t="str">
        <v>Team Wins/Losses This Week</v>
      </c>
    </row>
    <row r="45">
      <c r="A45" t="str">
        <v>Team Name</v>
      </c>
      <c r="B45" t="str">
        <v>Wins</v>
      </c>
      <c r="C45" t="str">
        <v>Losses</v>
      </c>
    </row>
    <row r="46">
      <c r="A46" t="str">
        <v>Biker Gang</v>
      </c>
      <c r="B46" t="str">
        <f>SUMIFS(C:C,B:B,"Biker Gang*")+SUMIFS(E:E,D:D,"Biker Gang*")+SUMIFS(H:H,G:G,"Biker Gang*")+SUMIFS(J:J,I:I,"Biker Gang*")</f>
        <v>#REF!</v>
      </c>
      <c r="C46">
        <f>SUMIFS(E:E,B:B,"Biker Gang*")+SUMIFS(C:C,D:D,"Biker Gang*")+SUMIFS(J:J,G:G,"Biker Gang*")+SUMIFS(H:H,I:I,"Biker Gang*")</f>
        <v>0</v>
      </c>
    </row>
    <row r="47">
      <c r="A47" t="str">
        <v>Boop Boop</v>
      </c>
      <c r="B47" t="str">
        <f>SUMIFS(C:C,B:B,"Boop Boop*")+SUMIFS(E:E,D:D,"Boop Boop*")+SUMIFS(H:H,G:G,"Boop Boop*")+SUMIFS(J:J,I:I,"Boop Boop*")</f>
        <v>#REF!</v>
      </c>
      <c r="C47">
        <f>SUMIFS(E:E,B:B,"Boop Boop*")+SUMIFS(C:C,D:D,"Boop Boop*")+SUMIFS(J:J,G:G,"Boop Boop*")+SUMIFS(H:H,I:I,"Boop Boop*")</f>
        <v>0</v>
      </c>
    </row>
    <row r="48">
      <c r="A48" t="str">
        <v>Most Improved</v>
      </c>
      <c r="B48" t="str">
        <f>SUMIFS(C:C,B:B,"Most Improved*")+SUMIFS(E:E,D:D,"Most Improved*")+SUMIFS(H:H,G:G,"Most Improved*")+SUMIFS(J:J,I:I,"Most Improved*")</f>
        <v>#REF!</v>
      </c>
      <c r="C48">
        <f>SUMIFS(E:E,B:B,"Most Improved*")+SUMIFS(C:C,D:D,"Most Improved*")+SUMIFS(J:J,G:G,"Most Improved*")+SUMIFS(H:H,I:I,"Most Improved*")</f>
        <v>0</v>
      </c>
    </row>
    <row r="49">
      <c r="A49" t="str">
        <v>Boston T Party</v>
      </c>
      <c r="B49" t="str">
        <f>SUMIFS(C:C,B:B,"Boston T Party*")+SUMIFS(E:E,D:D,"Boston T Party*")+SUMIFS(H:H,G:G,"Boston T Party*")+SUMIFS(J:J,I:I,"Boston T Party*")</f>
        <v>#REF!</v>
      </c>
      <c r="C49">
        <f>SUMIFS(E:E,B:B,"Boston T Party*")+SUMIFS(C:C,D:D,"Boston T Party*")+SUMIFS(J:J,G:G,"Boston T Party*")+SUMIFS(H:H,I:I,"Boston T Party*")</f>
        <v>0</v>
      </c>
    </row>
    <row r="50">
      <c r="A50" t="str">
        <v>Left Corners</v>
      </c>
      <c r="B50" t="str">
        <f>SUMIFS(C:C,B:B,"Left Corners*")+SUMIFS(E:E,D:D,"Left Corners*")+SUMIFS(H:H,G:G,"Left Corners*")+SUMIFS(J:J,I:I,"Left Corners*")</f>
        <v>#REF!</v>
      </c>
      <c r="C50">
        <f>SUMIFS(E:E,B:B,"Left Corners*")+SUMIFS(C:C,D:D,"Left Corners*")+SUMIFS(J:J,G:G,"Left Corners*")+SUMIFS(H:H,I:I,"Left Corners*")</f>
        <v>0</v>
      </c>
    </row>
    <row r="51">
      <c r="A51" t="str">
        <v>Big Bugs</v>
      </c>
      <c r="B51" t="str">
        <f>SUMIFS(C:C,B:B,"Big Bugs*")+SUMIFS(E:E,D:D,"Big Bugs*")+SUMIFS(H:H,G:G,"Big Bugs*")+SUMIFS(J:J,I:I,"Big Bugs*")</f>
        <v>#REF!</v>
      </c>
      <c r="C51">
        <f>SUMIFS(E:E,B:B,"Big Bugs*")+SUMIFS(C:C,D:D,"Big Bugs*")+SUMIFS(J:J,G:G,"Big Bugs*")+SUMIFS(H:H,I:I,"Big Bugs*")</f>
        <v>0</v>
      </c>
    </row>
    <row r="52">
      <c r="A52" t="str">
        <v>Free Agents of Chaos</v>
      </c>
      <c r="B52" t="str">
        <f>SUMIFS(C:C,B:B,"Free Agents of Chaos*")+SUMIFS(E:E,D:D,"Free Agents of Chaos*")+SUMIFS(H:H,G:G,"Free Agents of Chaos*")+SUMIFS(J:J,I:I,"Free Agents of Chaos*")</f>
        <v>#REF!</v>
      </c>
      <c r="C52">
        <f>SUMIFS(E:E,B:B,"Free Agents of Chaos*")+SUMIFS(C:C,D:D,"Free Agents of Chaos*")+SUMIFS(J:J,G:G,"Free Agents of Chaos*")+SUMIFS(H:H,I:I,"Free Agents of Chaos*")</f>
        <v>0</v>
      </c>
    </row>
    <row r="53">
      <c r="A53" t="str">
        <v>Cash Only</v>
      </c>
      <c r="B53" t="str">
        <f>SUMIFS(C:C,B:B,"Cash Only*")+SUMIFS(E:E,D:D,"Cash Only*")+SUMIFS(H:H,G:G,"Cash Only*")+SUMIFS(J:J,I:I,"Cash Only*")</f>
        <v>#REF!</v>
      </c>
      <c r="C53">
        <f>SUMIFS(E:E,B:B,"Cash Only*")+SUMIFS(C:C,D:D,"Cash Only*")+SUMIFS(J:J,G:G,"Cash Only*")+SUMIFS(H:H,I:I,"Cash Only*")</f>
        <v>0</v>
      </c>
    </row>
  </sheetData>
  <mergeCells count="60">
    <mergeCell ref="B25:D25"/>
    <mergeCell ref="G25:I25"/>
    <mergeCell ref="A20:A21"/>
    <mergeCell ref="B21:D21"/>
    <mergeCell ref="G21:I21"/>
    <mergeCell ref="A22:A23"/>
    <mergeCell ref="B23:D23"/>
    <mergeCell ref="G23:I23"/>
    <mergeCell ref="A24:A25"/>
    <mergeCell ref="B31:D31"/>
    <mergeCell ref="G31:I31"/>
    <mergeCell ref="A26:A27"/>
    <mergeCell ref="B27:D27"/>
    <mergeCell ref="G27:I27"/>
    <mergeCell ref="A28:A29"/>
    <mergeCell ref="B29:D29"/>
    <mergeCell ref="G29:I29"/>
    <mergeCell ref="A30:A31"/>
    <mergeCell ref="B37:D37"/>
    <mergeCell ref="G37:I37"/>
    <mergeCell ref="A32:A33"/>
    <mergeCell ref="B33:D33"/>
    <mergeCell ref="G33:I33"/>
    <mergeCell ref="A34:A35"/>
    <mergeCell ref="B35:D35"/>
    <mergeCell ref="G35:I35"/>
    <mergeCell ref="A36:A37"/>
    <mergeCell ref="B7:D7"/>
    <mergeCell ref="G7:I7"/>
    <mergeCell ref="A2:A3"/>
    <mergeCell ref="B3:D3"/>
    <mergeCell ref="G3:I3"/>
    <mergeCell ref="A4:A5"/>
    <mergeCell ref="B5:D5"/>
    <mergeCell ref="G5:I5"/>
    <mergeCell ref="A6:A7"/>
    <mergeCell ref="B13:D13"/>
    <mergeCell ref="G13:I13"/>
    <mergeCell ref="A8:A9"/>
    <mergeCell ref="B9:D9"/>
    <mergeCell ref="G9:I9"/>
    <mergeCell ref="A10:A11"/>
    <mergeCell ref="B11:D11"/>
    <mergeCell ref="G11:I11"/>
    <mergeCell ref="A12:A13"/>
    <mergeCell ref="B19:D19"/>
    <mergeCell ref="G19:I19"/>
    <mergeCell ref="A14:A15"/>
    <mergeCell ref="B15:D15"/>
    <mergeCell ref="G15:I15"/>
    <mergeCell ref="A16:A17"/>
    <mergeCell ref="B17:D17"/>
    <mergeCell ref="G17:I17"/>
    <mergeCell ref="A18:A19"/>
    <mergeCell ref="A38:A39"/>
    <mergeCell ref="B39:D39"/>
    <mergeCell ref="G39:I39"/>
    <mergeCell ref="A40:A41"/>
    <mergeCell ref="B41:D41"/>
    <mergeCell ref="G41:I41"/>
  </mergeCells>
  <pageMargins left="0.75" right="0.75" top="1" bottom="1" header="0" footer="0"/>
  <ignoredErrors>
    <ignoredError numberStoredAsText="1" sqref="A1:L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Teams</vt:lpstr>
      <vt:lpstr>Schedule Generator</vt:lpstr>
      <vt:lpstr>League Standings</vt:lpstr>
      <vt:lpstr>Week 1 Schedule</vt:lpstr>
      <vt:lpstr>Week 2 Schedule</vt:lpstr>
      <vt:lpstr>Week 3 Schedule</vt:lpstr>
      <vt:lpstr>Week 4 Schedule</vt:lpstr>
      <vt:lpstr>Week 5 Schedule</vt:lpstr>
      <vt:lpstr>Week 6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