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Schedule Generator" sheetId="2" state="visible" r:id="rId2"/>
    <sheet name="League Standings" sheetId="3" state="visible" r:id="rId3"/>
    <sheet name="Week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Names</t>
        </is>
      </c>
      <c r="C1" t="inlineStr">
        <is>
          <t>Carbon Fiber</t>
        </is>
      </c>
      <c r="D1" t="inlineStr">
        <is>
          <t>Velocity Syndicate</t>
        </is>
      </c>
      <c r="E1" t="inlineStr">
        <is>
          <t>Hyperdrive</t>
        </is>
      </c>
      <c r="F1" t="inlineStr">
        <is>
          <t>High Octane</t>
        </is>
      </c>
      <c r="G1" t="inlineStr">
        <is>
          <t>Full Throttle</t>
        </is>
      </c>
    </row>
    <row r="2">
      <c r="A2" t="inlineStr">
        <is>
          <t>Schedule format</t>
        </is>
      </c>
      <c r="B2" t="inlineStr">
        <is>
          <t>team-ref</t>
        </is>
      </c>
    </row>
    <row r="3">
      <c r="A3" t="inlineStr">
        <is>
          <t>League</t>
        </is>
      </c>
      <c r="B3" t="inlineStr">
        <is>
          <t>Five Team Round Robin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Carbon Fiber</t>
        </is>
      </c>
      <c r="C2" t="inlineStr">
        <is>
          <t>Velocity Syndicate</t>
        </is>
      </c>
      <c r="D2" t="inlineStr">
        <is>
          <t>Hyperdrive</t>
        </is>
      </c>
      <c r="E2" t="inlineStr">
        <is>
          <t>High Octane</t>
        </is>
      </c>
      <c r="F2" t="inlineStr">
        <is>
          <t>Full Throttle</t>
        </is>
      </c>
    </row>
    <row r="3">
      <c r="A3" t="inlineStr">
        <is>
          <t>Carbon Fiber</t>
        </is>
      </c>
      <c r="B3" t="inlineStr">
        <is>
          <t>-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Velocity Syndicate</t>
        </is>
      </c>
      <c r="B4" t="n">
        <v>1</v>
      </c>
      <c r="C4" t="inlineStr">
        <is>
          <t>-</t>
        </is>
      </c>
      <c r="D4" t="n">
        <v>1</v>
      </c>
      <c r="E4" t="n">
        <v>1</v>
      </c>
      <c r="F4" t="n">
        <v>1</v>
      </c>
    </row>
    <row r="5">
      <c r="A5" t="inlineStr">
        <is>
          <t>Hyperdrive</t>
        </is>
      </c>
      <c r="B5" t="n">
        <v>1</v>
      </c>
      <c r="C5" t="n">
        <v>1</v>
      </c>
      <c r="D5" t="inlineStr">
        <is>
          <t>-</t>
        </is>
      </c>
      <c r="E5" t="n">
        <v>1</v>
      </c>
      <c r="F5" t="n">
        <v>1</v>
      </c>
    </row>
    <row r="6">
      <c r="A6" t="inlineStr">
        <is>
          <t>High Octane</t>
        </is>
      </c>
      <c r="B6" t="n">
        <v>1</v>
      </c>
      <c r="C6" t="n">
        <v>1</v>
      </c>
      <c r="D6" t="n">
        <v>1</v>
      </c>
      <c r="E6" t="inlineStr">
        <is>
          <t>-</t>
        </is>
      </c>
      <c r="F6" t="n">
        <v>1</v>
      </c>
    </row>
    <row r="7">
      <c r="A7" t="inlineStr">
        <is>
          <t>Full Throttle</t>
        </is>
      </c>
      <c r="B7" t="n">
        <v>1</v>
      </c>
      <c r="C7" t="n">
        <v>1</v>
      </c>
      <c r="D7" t="n">
        <v>1</v>
      </c>
      <c r="E7" t="n">
        <v>1</v>
      </c>
      <c r="F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 STANDINGS</t>
        </is>
      </c>
    </row>
    <row r="2">
      <c r="A2" t="inlineStr">
        <is>
          <t>Team Name</t>
        </is>
      </c>
      <c r="B2" t="inlineStr">
        <is>
          <t>Points For</t>
        </is>
      </c>
      <c r="C2" t="inlineStr">
        <is>
          <t>Points Against</t>
        </is>
      </c>
      <c r="D2" t="inlineStr">
        <is>
          <t>Point Differential</t>
        </is>
      </c>
    </row>
    <row r="3">
      <c r="A3">
        <f>INDEX(A17:A21,MATCH(ROUND(LARGE(C17:C21,1),8),C17:C21,0))</f>
        <v/>
      </c>
      <c r="B3">
        <f>INDEX(B17:B21,MATCH(ROUND(LARGE(C17:C21,1),8),C17:C21,0))</f>
        <v/>
      </c>
      <c r="C3">
        <f>INDEX(E17:E21,MATCH(ROUND(LARGE(C17:C21,1),8),C17:C21,0))</f>
        <v/>
      </c>
      <c r="D3">
        <f>B3-C3</f>
        <v/>
      </c>
    </row>
    <row r="4">
      <c r="A4">
        <f>INDEX(A17:A21,MATCH(ROUND(LARGE(C17:C21,2),8),C17:C21,0))</f>
        <v/>
      </c>
      <c r="B4">
        <f>INDEX(B17:B21,MATCH(ROUND(LARGE(C17:C21,2),8),C17:C21,0))</f>
        <v/>
      </c>
      <c r="C4">
        <f>INDEX(E17:E21,MATCH(ROUND(LARGE(C17:C21,2),8),C17:C21,0))</f>
        <v/>
      </c>
      <c r="D4">
        <f>B4-C4</f>
        <v/>
      </c>
    </row>
    <row r="5">
      <c r="A5">
        <f>INDEX(A17:A21,MATCH(ROUND(LARGE(C17:C21,3),8),C17:C21,0))</f>
        <v/>
      </c>
      <c r="B5">
        <f>INDEX(B17:B21,MATCH(ROUND(LARGE(C17:C21,3),8),C17:C21,0))</f>
        <v/>
      </c>
      <c r="C5">
        <f>INDEX(E17:E21,MATCH(ROUND(LARGE(C17:C21,3),8),C17:C21,0))</f>
        <v/>
      </c>
      <c r="D5">
        <f>B5-C5</f>
        <v/>
      </c>
    </row>
    <row r="6">
      <c r="A6">
        <f>INDEX(A17:A21,MATCH(ROUND(LARGE(C17:C21,4),8),C17:C21,0))</f>
        <v/>
      </c>
      <c r="B6">
        <f>INDEX(B17:B21,MATCH(ROUND(LARGE(C17:C21,4),8),C17:C21,0))</f>
        <v/>
      </c>
      <c r="C6">
        <f>INDEX(E17:E21,MATCH(ROUND(LARGE(C17:C21,4),8),C17:C21,0))</f>
        <v/>
      </c>
      <c r="D6">
        <f>B6-C6</f>
        <v/>
      </c>
    </row>
    <row r="7">
      <c r="A7">
        <f>INDEX(A17:A21,MATCH(ROUND(LARGE(C17:C21,5),8),C17:C21,0))</f>
        <v/>
      </c>
      <c r="B7">
        <f>INDEX(B17:B21,MATCH(ROUND(LARGE(C17:C21,5),8),C17:C21,0))</f>
        <v/>
      </c>
      <c r="C7">
        <f>INDEX(E17:E21,MATCH(ROUND(LARGE(C17:C21,5),8),C17:C21,0))</f>
        <v/>
      </c>
      <c r="D7">
        <f>B7-C7</f>
        <v/>
      </c>
    </row>
    <row r="11">
      <c r="A11" t="inlineStr">
        <is>
          <t>Week #</t>
        </is>
      </c>
      <c r="B11" t="n">
        <v>0</v>
      </c>
    </row>
    <row r="16">
      <c r="A16" t="inlineStr">
        <is>
          <t>Teams</t>
        </is>
      </c>
      <c r="B16" t="inlineStr">
        <is>
          <t>Wins</t>
        </is>
      </c>
      <c r="E16" t="inlineStr">
        <is>
          <t>Losses</t>
        </is>
      </c>
    </row>
    <row r="17">
      <c r="A17" t="inlineStr">
        <is>
          <t>Carbon Fiber</t>
        </is>
      </c>
      <c r="B17">
        <f>'Week 1'!B23</f>
        <v/>
      </c>
      <c r="C17">
        <f>ROUND(B17+17/10000,8)</f>
        <v/>
      </c>
      <c r="E17">
        <f>'Week 1'!C23</f>
        <v/>
      </c>
    </row>
    <row r="18">
      <c r="A18" t="inlineStr">
        <is>
          <t>Velocity Syndicate</t>
        </is>
      </c>
      <c r="B18">
        <f>'Week 1'!B24</f>
        <v/>
      </c>
      <c r="C18">
        <f>ROUND(B18+18/10000,8)</f>
        <v/>
      </c>
      <c r="E18">
        <f>'Week 1'!C24</f>
        <v/>
      </c>
    </row>
    <row r="19">
      <c r="A19" t="inlineStr">
        <is>
          <t>Hyperdrive</t>
        </is>
      </c>
      <c r="B19">
        <f>'Week 1'!B25</f>
        <v/>
      </c>
      <c r="C19">
        <f>ROUND(B19+19/10000,8)</f>
        <v/>
      </c>
      <c r="E19">
        <f>'Week 1'!C25</f>
        <v/>
      </c>
    </row>
    <row r="20">
      <c r="A20" t="inlineStr">
        <is>
          <t>High Octane</t>
        </is>
      </c>
      <c r="B20">
        <f>'Week 1'!B26</f>
        <v/>
      </c>
      <c r="C20">
        <f>ROUND(B20+20/10000,8)</f>
        <v/>
      </c>
      <c r="E20">
        <f>'Week 1'!C26</f>
        <v/>
      </c>
    </row>
    <row r="21">
      <c r="A21" t="inlineStr">
        <is>
          <t>Full Throttle</t>
        </is>
      </c>
      <c r="B21">
        <f>'Week 1'!B27</f>
        <v/>
      </c>
      <c r="C21">
        <f>ROUND(B21+21/10000,8)</f>
        <v/>
      </c>
      <c r="E21">
        <f>'Week 1'!C27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Court 1</t>
        </is>
      </c>
      <c r="G1" t="inlineStr">
        <is>
          <t>Court 2</t>
        </is>
      </c>
    </row>
    <row r="2">
      <c r="A2" t="inlineStr">
        <is>
          <t>Game 01</t>
        </is>
      </c>
      <c r="B2" t="inlineStr">
        <is>
          <t>Full Throttle</t>
        </is>
      </c>
      <c r="D2" t="inlineStr">
        <is>
          <t>Velocity Syndicate</t>
        </is>
      </c>
      <c r="G2" t="inlineStr">
        <is>
          <t>Hyperdrive</t>
        </is>
      </c>
      <c r="I2" t="inlineStr">
        <is>
          <t>High Octane</t>
        </is>
      </c>
    </row>
    <row r="3">
      <c r="B3" t="inlineStr">
        <is>
          <t>Refs: Carbon Fiber</t>
        </is>
      </c>
      <c r="G3" t="inlineStr">
        <is>
          <t>Refs: Carbon Fiber</t>
        </is>
      </c>
    </row>
    <row r="4">
      <c r="A4" t="inlineStr">
        <is>
          <t>Game 02</t>
        </is>
      </c>
      <c r="B4" t="inlineStr">
        <is>
          <t>Carbon Fiber</t>
        </is>
      </c>
      <c r="D4" t="inlineStr">
        <is>
          <t>Velocity Syndicate</t>
        </is>
      </c>
      <c r="G4" t="inlineStr">
        <is>
          <t>Hyperdrive</t>
        </is>
      </c>
      <c r="I4" t="inlineStr">
        <is>
          <t>Full Throttle</t>
        </is>
      </c>
    </row>
    <row r="5">
      <c r="B5" t="inlineStr">
        <is>
          <t>Refs: High Octane</t>
        </is>
      </c>
      <c r="G5" t="inlineStr">
        <is>
          <t>Refs: High Octane</t>
        </is>
      </c>
    </row>
    <row r="6">
      <c r="A6" t="inlineStr">
        <is>
          <t>Game 03</t>
        </is>
      </c>
      <c r="B6" t="inlineStr">
        <is>
          <t>Carbon Fiber</t>
        </is>
      </c>
      <c r="D6" t="inlineStr">
        <is>
          <t>Hyperdrive</t>
        </is>
      </c>
      <c r="G6" t="inlineStr">
        <is>
          <t>High Octane</t>
        </is>
      </c>
      <c r="I6" t="inlineStr">
        <is>
          <t>Full Throttle</t>
        </is>
      </c>
    </row>
    <row r="7">
      <c r="B7" t="inlineStr">
        <is>
          <t>Refs: Velocity Syndicate</t>
        </is>
      </c>
      <c r="G7" t="inlineStr">
        <is>
          <t>Refs: Velocity Syndicate</t>
        </is>
      </c>
    </row>
    <row r="8">
      <c r="A8" t="inlineStr">
        <is>
          <t>Game 04</t>
        </is>
      </c>
      <c r="B8" t="inlineStr">
        <is>
          <t>High Octane</t>
        </is>
      </c>
      <c r="D8" t="inlineStr">
        <is>
          <t>Carbon Fiber</t>
        </is>
      </c>
      <c r="G8" t="inlineStr">
        <is>
          <t>Velocity Syndicate</t>
        </is>
      </c>
      <c r="I8" t="inlineStr">
        <is>
          <t>Hyperdrive</t>
        </is>
      </c>
    </row>
    <row r="9">
      <c r="B9" t="inlineStr">
        <is>
          <t>Refs: Full Throttle</t>
        </is>
      </c>
      <c r="G9" t="inlineStr">
        <is>
          <t>Refs: Full Throttle</t>
        </is>
      </c>
    </row>
    <row r="10">
      <c r="A10" t="inlineStr">
        <is>
          <t>Game 05</t>
        </is>
      </c>
      <c r="B10" t="inlineStr">
        <is>
          <t>Full Throttle</t>
        </is>
      </c>
      <c r="D10" t="inlineStr">
        <is>
          <t>Carbon Fiber</t>
        </is>
      </c>
      <c r="G10" t="inlineStr">
        <is>
          <t>Velocity Syndicate</t>
        </is>
      </c>
      <c r="I10" t="inlineStr">
        <is>
          <t>High Octane</t>
        </is>
      </c>
    </row>
    <row r="11">
      <c r="B11" t="inlineStr">
        <is>
          <t>Refs: Hyperdrive</t>
        </is>
      </c>
      <c r="G11" t="inlineStr">
        <is>
          <t>Refs: Hyperdrive</t>
        </is>
      </c>
    </row>
    <row r="13">
      <c r="A13" t="inlineStr">
        <is>
          <t>Balance check (home / away / refs)</t>
        </is>
      </c>
    </row>
    <row r="14">
      <c r="A14" t="inlineStr">
        <is>
          <t>Team</t>
        </is>
      </c>
      <c r="B14" t="inlineStr">
        <is>
          <t>Home</t>
        </is>
      </c>
      <c r="C14" t="inlineStr">
        <is>
          <t>Away</t>
        </is>
      </c>
      <c r="D14" t="inlineStr">
        <is>
          <t>Refs</t>
        </is>
      </c>
    </row>
    <row r="15">
      <c r="A15" t="inlineStr">
        <is>
          <t>Carbon Fiber</t>
        </is>
      </c>
      <c r="B15" t="n">
        <v>2</v>
      </c>
      <c r="C15" t="n">
        <v>2</v>
      </c>
      <c r="D15" t="n">
        <v>2</v>
      </c>
    </row>
    <row r="16">
      <c r="A16" t="inlineStr">
        <is>
          <t>Velocity Syndicate</t>
        </is>
      </c>
      <c r="B16" t="n">
        <v>2</v>
      </c>
      <c r="C16" t="n">
        <v>2</v>
      </c>
      <c r="D16" t="n">
        <v>2</v>
      </c>
    </row>
    <row r="17">
      <c r="A17" t="inlineStr">
        <is>
          <t>Hyperdrive</t>
        </is>
      </c>
      <c r="B17" t="n">
        <v>2</v>
      </c>
      <c r="C17" t="n">
        <v>2</v>
      </c>
      <c r="D17" t="n">
        <v>2</v>
      </c>
    </row>
    <row r="18">
      <c r="A18" t="inlineStr">
        <is>
          <t>High Octane</t>
        </is>
      </c>
      <c r="B18" t="n">
        <v>2</v>
      </c>
      <c r="C18" t="n">
        <v>2</v>
      </c>
      <c r="D18" t="n">
        <v>2</v>
      </c>
    </row>
    <row r="19">
      <c r="A19" t="inlineStr">
        <is>
          <t>Full Throttle</t>
        </is>
      </c>
      <c r="B19" t="n">
        <v>2</v>
      </c>
      <c r="C19" t="n">
        <v>2</v>
      </c>
      <c r="D19" t="n">
        <v>2</v>
      </c>
    </row>
    <row r="21">
      <c r="A21" t="inlineStr">
        <is>
          <t>Team Wins/Losses This Week</t>
        </is>
      </c>
    </row>
    <row r="22">
      <c r="A22" t="inlineStr">
        <is>
          <t>Team Name</t>
        </is>
      </c>
      <c r="B22" t="inlineStr">
        <is>
          <t>Wins</t>
        </is>
      </c>
      <c r="C22" t="inlineStr">
        <is>
          <t>Losses</t>
        </is>
      </c>
    </row>
    <row r="23">
      <c r="A23" t="inlineStr">
        <is>
          <t>Carbon Fiber</t>
        </is>
      </c>
      <c r="B23">
        <f>SUMIFS(C:C,B:B,"Carbon Fiber*")+SUMIFS(E:E,D:D,"Carbon Fiber*")+SUMIFS(H:H,G:G,"Carbon Fiber*")+SUMIFS(J:J,I:I,"Carbon Fiber*")</f>
        <v/>
      </c>
      <c r="C23">
        <f>SUMIFS(E:E,B:B,"Carbon Fiber*")+SUMIFS(C:C,D:D,"Carbon Fiber*")+SUMIFS(J:J,G:G,"Carbon Fiber*")+SUMIFS(H:H,I:I,"Carbon Fiber*")</f>
        <v/>
      </c>
    </row>
    <row r="24">
      <c r="A24" t="inlineStr">
        <is>
          <t>Velocity Syndicate</t>
        </is>
      </c>
      <c r="B24">
        <f>SUMIFS(C:C,B:B,"Velocity Syndicate*")+SUMIFS(E:E,D:D,"Velocity Syndicate*")+SUMIFS(H:H,G:G,"Velocity Syndicate*")+SUMIFS(J:J,I:I,"Velocity Syndicate*")</f>
        <v/>
      </c>
      <c r="C24">
        <f>SUMIFS(E:E,B:B,"Velocity Syndicate*")+SUMIFS(C:C,D:D,"Velocity Syndicate*")+SUMIFS(J:J,G:G,"Velocity Syndicate*")+SUMIFS(H:H,I:I,"Velocity Syndicate*")</f>
        <v/>
      </c>
    </row>
    <row r="25">
      <c r="A25" t="inlineStr">
        <is>
          <t>Hyperdrive</t>
        </is>
      </c>
      <c r="B25">
        <f>SUMIFS(C:C,B:B,"Hyperdrive")+SUMIFS(E:E,D:D,"Hyperdrive")+SUMIFS(H:H,G:G,"Hyperdrive")+SUMIFS(J:J,I:I,"Hyperdrive")</f>
        <v/>
      </c>
      <c r="C25">
        <f>SUMIFS(E:E,B:B,"Hyperdrive")+SUMIFS(C:C,D:D,"Hyperdrive")+SUMIFS(J:J,G:G,"Hyperdrive")+SUMIFS(H:H,I:I,"Hyperdrive")</f>
        <v/>
      </c>
    </row>
    <row r="26">
      <c r="A26" t="inlineStr">
        <is>
          <t>High Octane</t>
        </is>
      </c>
      <c r="B26">
        <f>SUMIFS(C:C,B:B,"High Octane*")+SUMIFS(E:E,D:D,"High Octane*")+SUMIFS(H:H,G:G,"High Octane*")+SUMIFS(J:J,I:I,"High Octane*")</f>
        <v/>
      </c>
      <c r="C26">
        <f>SUMIFS(E:E,B:B,"High Octane*")+SUMIFS(C:C,D:D,"High Octane*")+SUMIFS(J:J,G:G,"High Octane*")+SUMIFS(H:H,I:I,"High Octane*")</f>
        <v/>
      </c>
    </row>
    <row r="27">
      <c r="A27" t="inlineStr">
        <is>
          <t>Full Throttle</t>
        </is>
      </c>
      <c r="B27">
        <f>SUMIFS(C:C,B:B,"Full Throttle*")+SUMIFS(E:E,D:D,"Full Throttle*")+SUMIFS(H:H,G:G,"Full Throttle*")+SUMIFS(J:J,I:I,"Full Throttle*")</f>
        <v/>
      </c>
      <c r="C27">
        <f>SUMIFS(E:E,B:B,"Full Throttle*")+SUMIFS(C:C,D:D,"Full Throttle*")+SUMIFS(J:J,G:G,"Full Throttle*")+SUMIFS(H:H,I:I,"Full Throttle*")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2026-08-06T16:55:23Z</dcterms:created>
  <dcterms:modified xsi:type="dcterms:W3CDTF">2026-08-06T16:55:23Z</dcterms:modified>
</cp:coreProperties>
</file>