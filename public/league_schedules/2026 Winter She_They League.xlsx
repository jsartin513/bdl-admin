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ague Standings" sheetId="1" state="visible" r:id="rId1"/>
    <sheet name="Teams" sheetId="2" state="visible" r:id="rId2"/>
    <sheet name="Schedule Generator" sheetId="3" state="visible" r:id="rId3"/>
    <sheet name="Week 1 (1.4)" sheetId="4" state="visible" r:id="rId4"/>
    <sheet name="Week 2 (1.11)" sheetId="5" state="visible" r:id="rId5"/>
    <sheet name="Week 3 (1.25)" sheetId="6" state="visible" r:id="rId6"/>
    <sheet name="Week 4 (2.1)" sheetId="7" state="visible" r:id="rId7"/>
    <sheet name="Week 5 (2.8)" sheetId="8" state="visible" r:id="rId8"/>
    <sheet name="Week 6 (2.15)" sheetId="9" state="visible" r:id="rId9"/>
    <sheet name="PLAYOFFS (5.21)" sheetId="10" state="hidden" r:id="rId10"/>
  </sheets>
  <definedNames/>
  <calcPr calcId="124519" fullCalcOnLoad="1" iterate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rgb="FF000000"/>
      <scheme val="minor"/>
    </font>
    <font>
      <name val="Arial"/>
      <color theme="1"/>
    </font>
    <font>
      <name val="Arial"/>
      <color rgb="FF000000"/>
    </font>
    <font>
      <name val="Arial"/>
      <b val="1"/>
      <color theme="1"/>
    </font>
    <font/>
  </fonts>
  <fills count="7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EF8E3"/>
        <bgColor rgb="FFFEF8E3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4" fillId="4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4" fillId="3" borderId="0" applyAlignment="1" pivotButton="0" quotePrefix="0" xfId="0">
      <alignment horizontal="right" vertical="bottom"/>
    </xf>
    <xf numFmtId="0" fontId="5" fillId="4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4" fillId="5" borderId="0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7" fillId="0" borderId="2" pivotButton="0" quotePrefix="0" xfId="0"/>
    <xf numFmtId="0" fontId="7" fillId="0" borderId="3" pivotButton="0" quotePrefix="0" xfId="0"/>
    <xf numFmtId="0" fontId="4" fillId="0" borderId="0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0" fontId="4" fillId="0" borderId="4" applyAlignment="1" pivotButton="0" quotePrefix="0" xfId="0">
      <alignment horizontal="center" vertical="top"/>
    </xf>
    <xf numFmtId="0" fontId="2" fillId="3" borderId="0" pivotButton="0" quotePrefix="0" xfId="0"/>
    <xf numFmtId="0" fontId="4" fillId="3" borderId="5" applyAlignment="1" pivotButton="0" quotePrefix="0" xfId="0">
      <alignment vertical="bottom"/>
    </xf>
    <xf numFmtId="0" fontId="4" fillId="3" borderId="5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0" fontId="7" fillId="0" borderId="6" pivotButton="0" quotePrefix="0" xfId="0"/>
    <xf numFmtId="0" fontId="4" fillId="6" borderId="7" applyAlignment="1" pivotButton="0" quotePrefix="0" xfId="0">
      <alignment vertical="bottom"/>
    </xf>
    <xf numFmtId="0" fontId="7" fillId="6" borderId="8" pivotButton="0" quotePrefix="0" xfId="0"/>
    <xf numFmtId="0" fontId="7" fillId="6" borderId="9" pivotButton="0" quotePrefix="0" xfId="0"/>
    <xf numFmtId="0" fontId="4" fillId="6" borderId="0" applyAlignment="1" pivotButton="0" quotePrefix="0" xfId="0">
      <alignment vertical="bottom"/>
    </xf>
    <xf numFmtId="0" fontId="2" fillId="3" borderId="0" pivotButton="0" quotePrefix="0" xfId="0"/>
    <xf numFmtId="0" fontId="4" fillId="0" borderId="0" applyAlignment="1" pivotButton="0" quotePrefix="0" xfId="0">
      <alignment vertical="bottom"/>
    </xf>
    <xf numFmtId="0" fontId="4" fillId="5" borderId="0" applyAlignment="1" pivotButton="0" quotePrefix="0" xfId="0">
      <alignment vertical="bottom"/>
    </xf>
    <xf numFmtId="0" fontId="4" fillId="5" borderId="0" applyAlignment="1" pivotButton="0" quotePrefix="0" xfId="0">
      <alignment vertical="bottom"/>
    </xf>
    <xf numFmtId="0" fontId="0" fillId="0" borderId="0" pivotButton="0" quotePrefix="0" xfId="0"/>
    <xf numFmtId="0" fontId="6" fillId="0" borderId="4" applyAlignment="1" pivotButton="0" quotePrefix="0" xfId="0">
      <alignment vertical="bottom"/>
    </xf>
    <xf numFmtId="0" fontId="0" fillId="0" borderId="2" pivotButton="0" quotePrefix="0" xfId="0"/>
    <xf numFmtId="0" fontId="0" fillId="0" borderId="3" pivotButton="0" quotePrefix="0" xfId="0"/>
    <xf numFmtId="0" fontId="4" fillId="0" borderId="5" applyAlignment="1" pivotButton="0" quotePrefix="0" xfId="0">
      <alignment horizontal="center" vertical="top"/>
    </xf>
    <xf numFmtId="0" fontId="0" fillId="0" borderId="6" pivotButton="0" quotePrefix="0" xfId="0"/>
    <xf numFmtId="0" fontId="4" fillId="6" borderId="5" applyAlignment="1" pivotButton="0" quotePrefix="0" xfId="0">
      <alignment vertical="bottom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dxfs count="2">
    <dxf>
      <font/>
      <fill>
        <patternFill/>
      </fill>
      <border/>
    </dxf>
    <dxf>
      <font/>
      <fill>
        <patternFill patternType="solid">
          <fgColor rgb="FF999999"/>
          <bgColor rgb="FF9999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9.38" customWidth="1" style="44" min="1" max="1"/>
    <col width="12.5" customWidth="1" style="44" min="2" max="2"/>
    <col width="15.75" customWidth="1" style="44" min="3" max="3"/>
    <col width="13" customWidth="1" style="44" min="4" max="4"/>
    <col width="9.25" customWidth="1" style="44" min="5" max="5"/>
    <col width="5.75" customWidth="1" style="44" min="6" max="6"/>
  </cols>
  <sheetData>
    <row r="1">
      <c r="A1" s="1" t="inlineStr">
        <is>
          <t>LEAGUE STANDINGS</t>
        </is>
      </c>
    </row>
    <row r="2">
      <c r="A2" s="8" t="inlineStr">
        <is>
          <t>Team Name</t>
        </is>
      </c>
      <c r="B2" s="8" t="inlineStr">
        <is>
          <t>Points For</t>
        </is>
      </c>
      <c r="C2" s="8" t="inlineStr">
        <is>
          <t>Points Against</t>
        </is>
      </c>
      <c r="D2" s="8" t="inlineStr">
        <is>
          <t>Point Differential</t>
        </is>
      </c>
    </row>
    <row r="3">
      <c r="A3" s="5">
        <f>INDEX(A17:A20,MATCH(LARGE(C17:C20,1),C17:C20,0))</f>
        <v/>
      </c>
      <c r="B3" s="8">
        <f>INDEX(B17:B20,MATCH(LARGE(C17:C20,1),C17:C20,0))</f>
        <v/>
      </c>
      <c r="C3" s="8">
        <f>INDEX(E17:E20,MATCH(LARGE(C17:C20,1),C17:C20,0))</f>
        <v/>
      </c>
      <c r="D3" s="8">
        <f>B3-C3</f>
        <v/>
      </c>
    </row>
    <row r="4">
      <c r="A4" s="5">
        <f>INDEX(A17:A20,MATCH(LARGE(C17:C20,2),C17:C20,0))</f>
        <v/>
      </c>
      <c r="B4" s="8">
        <f>INDEX(B17:B20,MATCH(LARGE(C17:C20,2),C17:C20,0))</f>
        <v/>
      </c>
      <c r="C4" s="8">
        <f>INDEX(E17:E20,MATCH(LARGE(C17:C20,2),C17:C20,0))</f>
        <v/>
      </c>
      <c r="D4" s="8">
        <f>B4-C4</f>
        <v/>
      </c>
    </row>
    <row r="5">
      <c r="A5" s="5">
        <f>INDEX(A17:A20,MATCH(LARGE(C17:C20,3),C17:C20,0))</f>
        <v/>
      </c>
      <c r="B5" s="5">
        <f>INDEX(B17:B20,MATCH(LARGE(C17:C20,3),C17:C20,0))</f>
        <v/>
      </c>
      <c r="C5" s="8">
        <f>INDEX(E17:E20,MATCH(LARGE(C17:C20,3),C17:C20,0))</f>
        <v/>
      </c>
      <c r="D5" s="8">
        <f>B5-C5</f>
        <v/>
      </c>
    </row>
    <row r="6">
      <c r="A6" s="5">
        <f>INDEX(A17:A20,MATCH(LARGE(C17:C20,4),C17:C20,0))</f>
        <v/>
      </c>
      <c r="B6" s="8">
        <f>INDEX(B17:B20,MATCH(LARGE(C17:C20,4),C17:C20,0))</f>
        <v/>
      </c>
      <c r="C6" s="8">
        <f>INDEX(E17:E20,MATCH(LARGE(C17:C20,4),C17:C20,0))</f>
        <v/>
      </c>
      <c r="D6" s="8">
        <f>B6-C6</f>
        <v/>
      </c>
    </row>
    <row r="7">
      <c r="A7" s="5" t="n"/>
      <c r="B7" s="8" t="n"/>
      <c r="C7" s="8" t="n"/>
      <c r="D7" s="8" t="n"/>
    </row>
    <row r="8">
      <c r="A8" s="5" t="n"/>
      <c r="B8" s="8" t="n"/>
      <c r="C8" s="8" t="n"/>
      <c r="D8" s="8" t="n"/>
    </row>
    <row r="9">
      <c r="A9" s="5" t="n"/>
      <c r="B9" s="8" t="n"/>
      <c r="C9" s="8" t="n"/>
      <c r="D9" s="8" t="n"/>
    </row>
    <row r="11">
      <c r="A11" s="8" t="inlineStr">
        <is>
          <t xml:space="preserve">Week # </t>
        </is>
      </c>
      <c r="B11" s="8" t="n">
        <v>0</v>
      </c>
    </row>
    <row r="13">
      <c r="B13" s="8">
        <f>SUM(B3:B9)</f>
        <v/>
      </c>
      <c r="C13" s="8">
        <f>SUM(C3:C9)</f>
        <v/>
      </c>
    </row>
    <row r="16">
      <c r="A16" s="6" t="inlineStr">
        <is>
          <t>Teams</t>
        </is>
      </c>
      <c r="B16" s="6" t="inlineStr">
        <is>
          <t>Wins</t>
        </is>
      </c>
      <c r="C16" s="8" t="inlineStr">
        <is>
          <t>Excel magic column</t>
        </is>
      </c>
      <c r="E16" s="41" t="inlineStr">
        <is>
          <t>Losses</t>
        </is>
      </c>
    </row>
    <row r="17">
      <c r="A17" s="8" t="inlineStr">
        <is>
          <t>Artemis</t>
        </is>
      </c>
      <c r="B17" s="8">
        <f>'Week 1 (1.4)'!B32+'Week 2 (1.11)'!B32+'Week 3 (1.25)'!B32+'Week 4 (2.1)'!B32+'Week 5 (2.8)'!B32+'Week 6 (2.15)'!B32</f>
        <v/>
      </c>
      <c r="C17" s="8">
        <f>B17+ROW(B17)/10000</f>
        <v/>
      </c>
      <c r="E17" s="41">
        <f>'Week 1 (1.4)'!C32+'Week 2 (1.11)'!C32+'Week 3 (1.25)'!C32+'Week 4 (2.1)'!C32+'Week 5 (2.8)'!C32+'Week 6 (2.15)'!C32</f>
        <v/>
      </c>
    </row>
    <row r="18">
      <c r="A18" s="8" t="inlineStr">
        <is>
          <t>Athena</t>
        </is>
      </c>
      <c r="B18" s="8">
        <f>'Week 1 (1.4)'!B33+'Week 2 (1.11)'!B33+'Week 3 (1.25)'!B33+'Week 4 (2.1)'!B33+'Week 5 (2.8)'!B33+'Week 6 (2.15)'!B33</f>
        <v/>
      </c>
      <c r="C18" s="8">
        <f>B18+ROW(B18)/10000</f>
        <v/>
      </c>
      <c r="E18" s="41">
        <f>'Week 1 (1.4)'!C33+'Week 2 (1.11)'!C33+'Week 3 (1.25)'!C33+'Week 4 (2.1)'!C33+'Week 5 (2.8)'!C33+'Week 6 (2.15)'!C33</f>
        <v/>
      </c>
    </row>
    <row r="19">
      <c r="A19" s="8" t="inlineStr">
        <is>
          <t>Dionysus</t>
        </is>
      </c>
      <c r="B19" s="8">
        <f>'Week 1 (1.4)'!B34+'Week 2 (1.11)'!B34+'Week 3 (1.25)'!B34+'Week 4 (2.1)'!B34+'Week 5 (2.8)'!B34+'Week 6 (2.15)'!B34</f>
        <v/>
      </c>
      <c r="C19" s="8">
        <f>B19+ROW(B19)/10000</f>
        <v/>
      </c>
      <c r="E19" s="41">
        <f>'Week 1 (1.4)'!C34+'Week 2 (1.11)'!C34+'Week 3 (1.25)'!C34+'Week 4 (2.1)'!C34+'Week 5 (2.8)'!C34+'Week 6 (2.15)'!C34</f>
        <v/>
      </c>
    </row>
    <row r="20">
      <c r="A20" s="8" t="inlineStr">
        <is>
          <t>Persephone</t>
        </is>
      </c>
      <c r="B20" s="8">
        <f>'Week 1 (1.4)'!B35+'Week 2 (1.11)'!B35+'Week 3 (1.25)'!B35+'Week 4 (2.1)'!B35+'Week 5 (2.8)'!B35+'Week 6 (2.15)'!B35</f>
        <v/>
      </c>
      <c r="C20" s="8">
        <f>B20+ROW(B20)/10000</f>
        <v/>
      </c>
      <c r="E20" s="41">
        <f>'Week 1 (1.4)'!C35+'Week 2 (1.11)'!C35+'Week 3 (1.25)'!C35+'Week 4 (2.1)'!C35+'Week 5 (2.8)'!C35+'Week 6 (2.15)'!C35</f>
        <v/>
      </c>
    </row>
    <row r="21">
      <c r="A21" s="8" t="n"/>
      <c r="B21" s="8" t="n"/>
      <c r="C21" s="8" t="n"/>
      <c r="E21" s="41" t="n"/>
    </row>
    <row r="22">
      <c r="A22" s="8" t="n"/>
      <c r="B22" s="8" t="n"/>
      <c r="C22" s="8" t="n"/>
      <c r="E22" s="41" t="n"/>
    </row>
    <row r="23">
      <c r="A23" s="8" t="n"/>
      <c r="B23" s="8" t="n"/>
      <c r="C23" s="8" t="n"/>
    </row>
    <row r="24">
      <c r="A24" s="41" t="n"/>
      <c r="B24" s="0" t="n"/>
    </row>
    <row r="25">
      <c r="A25" s="0" t="n"/>
      <c r="B25" s="0" t="n"/>
    </row>
    <row r="26">
      <c r="A26" s="0" t="n"/>
      <c r="B26" s="0" t="n"/>
    </row>
    <row r="27">
      <c r="A27" s="0" t="n"/>
      <c r="B27" s="0" t="n"/>
    </row>
    <row r="28"/>
    <row r="29"/>
    <row r="30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7"/>
  <sheetViews>
    <sheetView workbookViewId="0">
      <selection activeCell="A1" sqref="A1"/>
    </sheetView>
  </sheetViews>
  <sheetFormatPr baseColWidth="8" defaultColWidth="12.63" defaultRowHeight="15.75" customHeight="1"/>
  <cols>
    <col width="19.38" customWidth="1" style="44" min="2" max="2"/>
    <col width="18.88" customWidth="1" style="44" min="3" max="3"/>
    <col width="19.13" customWidth="1" style="44" min="4" max="4"/>
    <col width="19" customWidth="1" style="44" min="5" max="5"/>
  </cols>
  <sheetData>
    <row r="1">
      <c r="A1" s="9" t="inlineStr">
        <is>
          <t>Team Names</t>
        </is>
      </c>
      <c r="B1" s="10" t="inlineStr">
        <is>
          <t> </t>
        </is>
      </c>
      <c r="C1" s="10" t="inlineStr">
        <is>
          <t>Persephone</t>
        </is>
      </c>
      <c r="D1" s="10" t="inlineStr">
        <is>
          <t>Artemis</t>
        </is>
      </c>
      <c r="E1" s="10" t="inlineStr">
        <is>
          <t>Dionysus</t>
        </is>
      </c>
      <c r="F1" s="0" t="inlineStr">
        <is>
          <t>Athena</t>
        </is>
      </c>
    </row>
    <row r="2">
      <c r="A2" s="9" t="inlineStr">
        <is>
          <t>Players</t>
        </is>
      </c>
      <c r="B2" s="8" t="inlineStr">
        <is>
          <t>Andrea Moreira</t>
        </is>
      </c>
      <c r="C2" s="8" t="inlineStr">
        <is>
          <t>Abby Lee</t>
        </is>
      </c>
      <c r="D2" s="8" t="inlineStr">
        <is>
          <t>Cassandra Maker</t>
        </is>
      </c>
      <c r="E2" s="8" t="inlineStr">
        <is>
          <t>Jess Sartin</t>
        </is>
      </c>
    </row>
    <row r="3">
      <c r="B3" s="8" t="inlineStr">
        <is>
          <t>Chelsea Habif</t>
        </is>
      </c>
      <c r="C3" s="8" t="inlineStr">
        <is>
          <t>Ashley Elder</t>
        </is>
      </c>
      <c r="D3" s="8" t="inlineStr">
        <is>
          <t>Erin Dacey</t>
        </is>
      </c>
      <c r="E3" s="8" t="inlineStr">
        <is>
          <t>Laura Jennings</t>
        </is>
      </c>
    </row>
    <row r="4">
      <c r="B4" s="8" t="inlineStr">
        <is>
          <t>Claire Ousey</t>
        </is>
      </c>
      <c r="C4" s="8" t="inlineStr">
        <is>
          <t>Grace Berg</t>
        </is>
      </c>
      <c r="D4" s="8" t="inlineStr">
        <is>
          <t>Julia Stevens</t>
        </is>
      </c>
      <c r="E4" s="8" t="inlineStr">
        <is>
          <t>Steph Bartlett</t>
        </is>
      </c>
    </row>
    <row r="5">
      <c r="B5" s="8" t="inlineStr">
        <is>
          <t>Jess Habif</t>
        </is>
      </c>
      <c r="C5" s="8" t="inlineStr">
        <is>
          <t>Kimberly Usseglio</t>
        </is>
      </c>
      <c r="D5" s="8" t="inlineStr">
        <is>
          <t>Lovie Burleson</t>
        </is>
      </c>
      <c r="E5" s="8" t="inlineStr">
        <is>
          <t>Victoria Petersen</t>
        </is>
      </c>
    </row>
    <row r="6">
      <c r="B6" s="8" t="inlineStr">
        <is>
          <t>Jo Dymek</t>
        </is>
      </c>
      <c r="C6" s="8" t="inlineStr">
        <is>
          <t>Rachel Garland</t>
        </is>
      </c>
      <c r="D6" s="8" t="inlineStr">
        <is>
          <t>Mackenzie Wilson</t>
        </is>
      </c>
      <c r="E6" s="8" t="inlineStr">
        <is>
          <t>Yiwei Li</t>
        </is>
      </c>
    </row>
    <row r="7">
      <c r="B7" s="8" t="inlineStr">
        <is>
          <t>Briana Scata</t>
        </is>
      </c>
      <c r="C7" s="8" t="inlineStr">
        <is>
          <t>Rachel Krystopowicz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T3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" t="inlineStr">
        <is>
          <t>Week 1</t>
        </is>
      </c>
      <c r="G1" s="6" t="inlineStr">
        <is>
          <t>Week 3</t>
        </is>
      </c>
      <c r="M1" s="6" t="inlineStr">
        <is>
          <t>Week 5</t>
        </is>
      </c>
    </row>
    <row r="2">
      <c r="B2" s="8" t="inlineStr">
        <is>
          <t>Athena</t>
        </is>
      </c>
      <c r="C2" s="8" t="inlineStr">
        <is>
          <t>Persephone</t>
        </is>
      </c>
      <c r="D2" s="8" t="inlineStr">
        <is>
          <t>Artemis</t>
        </is>
      </c>
      <c r="E2" s="8" t="inlineStr">
        <is>
          <t>Dionysus</t>
        </is>
      </c>
      <c r="H2" s="8" t="inlineStr">
        <is>
          <t>Athena</t>
        </is>
      </c>
      <c r="I2" s="8" t="inlineStr">
        <is>
          <t>Persephone</t>
        </is>
      </c>
      <c r="J2" s="8" t="inlineStr">
        <is>
          <t>Artemis</t>
        </is>
      </c>
      <c r="K2" s="8" t="inlineStr">
        <is>
          <t>Dionysus</t>
        </is>
      </c>
      <c r="L2" s="40" t="n"/>
      <c r="N2" s="8" t="inlineStr">
        <is>
          <t>Athena</t>
        </is>
      </c>
      <c r="O2" s="8" t="inlineStr">
        <is>
          <t>Persephone</t>
        </is>
      </c>
      <c r="P2" s="8" t="inlineStr">
        <is>
          <t>Artemis</t>
        </is>
      </c>
      <c r="Q2" s="8" t="inlineStr">
        <is>
          <t>Dionysus</t>
        </is>
      </c>
    </row>
    <row r="3">
      <c r="A3" s="8" t="inlineStr">
        <is>
          <t>Athena</t>
        </is>
      </c>
      <c r="B3" s="12" t="inlineStr">
        <is>
          <t>-</t>
        </is>
      </c>
      <c r="C3" s="8" t="n">
        <v>2</v>
      </c>
      <c r="D3" s="8" t="n">
        <v>2</v>
      </c>
      <c r="E3" s="8" t="n">
        <v>2</v>
      </c>
      <c r="G3" s="8" t="inlineStr">
        <is>
          <t>Athena</t>
        </is>
      </c>
      <c r="H3" s="12" t="inlineStr">
        <is>
          <t>-</t>
        </is>
      </c>
      <c r="I3" s="8" t="n">
        <v>2</v>
      </c>
      <c r="J3" s="8" t="n">
        <v>2</v>
      </c>
      <c r="K3" s="8" t="n">
        <v>2</v>
      </c>
      <c r="L3" s="40" t="n"/>
      <c r="M3" s="8" t="inlineStr">
        <is>
          <t>Athena</t>
        </is>
      </c>
      <c r="N3" s="12" t="n"/>
      <c r="O3" s="8" t="n">
        <v>2</v>
      </c>
      <c r="P3" s="8" t="n">
        <v>2</v>
      </c>
      <c r="Q3" s="8" t="n">
        <v>2</v>
      </c>
    </row>
    <row r="4">
      <c r="A4" s="8" t="inlineStr">
        <is>
          <t>Persephone</t>
        </is>
      </c>
      <c r="B4" s="8" t="n">
        <v>2</v>
      </c>
      <c r="C4" s="12" t="inlineStr">
        <is>
          <t>-</t>
        </is>
      </c>
      <c r="D4" s="8" t="n">
        <v>2</v>
      </c>
      <c r="E4" s="8" t="n">
        <v>2</v>
      </c>
      <c r="G4" s="8" t="inlineStr">
        <is>
          <t>Persephone</t>
        </is>
      </c>
      <c r="H4" s="8" t="n">
        <v>2</v>
      </c>
      <c r="I4" s="12" t="inlineStr">
        <is>
          <t>-</t>
        </is>
      </c>
      <c r="J4" s="8" t="n">
        <v>2</v>
      </c>
      <c r="K4" s="8" t="n">
        <v>2</v>
      </c>
      <c r="L4" s="40" t="n"/>
      <c r="M4" s="8" t="inlineStr">
        <is>
          <t>Persephone</t>
        </is>
      </c>
      <c r="N4" s="8" t="n">
        <v>2</v>
      </c>
      <c r="O4" s="12" t="n"/>
      <c r="P4" s="8" t="n">
        <v>2</v>
      </c>
      <c r="Q4" s="8" t="n">
        <v>2</v>
      </c>
    </row>
    <row r="5">
      <c r="A5" s="8" t="inlineStr">
        <is>
          <t>Artemis</t>
        </is>
      </c>
      <c r="B5" s="8" t="n">
        <v>2</v>
      </c>
      <c r="C5" s="8" t="n">
        <v>2</v>
      </c>
      <c r="D5" s="12" t="inlineStr">
        <is>
          <t>-</t>
        </is>
      </c>
      <c r="E5" s="8" t="n">
        <v>2</v>
      </c>
      <c r="G5" s="8" t="inlineStr">
        <is>
          <t>Artemis</t>
        </is>
      </c>
      <c r="H5" s="8" t="n">
        <v>2</v>
      </c>
      <c r="I5" s="8" t="n">
        <v>2</v>
      </c>
      <c r="J5" s="12" t="inlineStr">
        <is>
          <t>-</t>
        </is>
      </c>
      <c r="K5" s="8" t="n">
        <v>2</v>
      </c>
      <c r="L5" s="40" t="n"/>
      <c r="M5" s="8" t="inlineStr">
        <is>
          <t>Artemis</t>
        </is>
      </c>
      <c r="N5" s="8" t="n">
        <v>2</v>
      </c>
      <c r="O5" s="8" t="n">
        <v>2</v>
      </c>
      <c r="P5" s="12" t="n"/>
      <c r="Q5" s="8" t="n">
        <v>2</v>
      </c>
    </row>
    <row r="6">
      <c r="A6" s="8" t="inlineStr">
        <is>
          <t>Dionysus</t>
        </is>
      </c>
      <c r="B6" s="8" t="n">
        <v>2</v>
      </c>
      <c r="C6" s="8" t="n">
        <v>2</v>
      </c>
      <c r="D6" s="8" t="n">
        <v>2</v>
      </c>
      <c r="E6" s="12" t="inlineStr">
        <is>
          <t>-</t>
        </is>
      </c>
      <c r="G6" s="8" t="inlineStr">
        <is>
          <t>Dionysus</t>
        </is>
      </c>
      <c r="H6" s="8" t="n">
        <v>2</v>
      </c>
      <c r="I6" s="8" t="n">
        <v>2</v>
      </c>
      <c r="J6" s="8" t="n">
        <v>2</v>
      </c>
      <c r="K6" s="12" t="inlineStr">
        <is>
          <t>-</t>
        </is>
      </c>
      <c r="L6" s="40" t="n"/>
      <c r="M6" s="8" t="inlineStr">
        <is>
          <t>Dionysus</t>
        </is>
      </c>
      <c r="N6" s="8" t="n">
        <v>2</v>
      </c>
      <c r="O6" s="8" t="n">
        <v>2</v>
      </c>
      <c r="P6" s="8" t="n">
        <v>2</v>
      </c>
      <c r="Q6" s="12" t="n"/>
    </row>
    <row r="7">
      <c r="A7" s="40" t="n"/>
      <c r="B7" s="40" t="n"/>
      <c r="C7" s="40" t="n"/>
      <c r="D7" s="40" t="n"/>
      <c r="E7" s="40" t="n"/>
      <c r="F7" s="40" t="n"/>
      <c r="L7" s="40" t="n"/>
    </row>
    <row r="8">
      <c r="A8" s="6" t="n"/>
      <c r="L8" s="40" t="n"/>
    </row>
    <row r="9">
      <c r="A9" s="6" t="inlineStr">
        <is>
          <t>Week 2</t>
        </is>
      </c>
      <c r="G9" s="6" t="inlineStr">
        <is>
          <t>Week 4</t>
        </is>
      </c>
      <c r="J9" s="8" t="n"/>
      <c r="K9" s="8" t="n"/>
      <c r="L9" s="40" t="n"/>
      <c r="M9" s="6" t="inlineStr">
        <is>
          <t>Week 6</t>
        </is>
      </c>
      <c r="N9" s="8" t="n"/>
      <c r="O9" s="8" t="n"/>
      <c r="P9" s="8" t="n"/>
      <c r="Q9" s="8" t="n"/>
    </row>
    <row r="10">
      <c r="B10" s="8" t="inlineStr">
        <is>
          <t>Athena</t>
        </is>
      </c>
      <c r="C10" s="8" t="inlineStr">
        <is>
          <t>Persephone</t>
        </is>
      </c>
      <c r="D10" s="8" t="inlineStr">
        <is>
          <t>Artemis</t>
        </is>
      </c>
      <c r="E10" s="8" t="inlineStr">
        <is>
          <t>Dionysus</t>
        </is>
      </c>
      <c r="F10" s="40" t="n"/>
      <c r="G10" s="41" t="n"/>
      <c r="H10" s="8" t="inlineStr">
        <is>
          <t>Athena</t>
        </is>
      </c>
      <c r="I10" s="8" t="inlineStr">
        <is>
          <t>Persephone</t>
        </is>
      </c>
      <c r="J10" s="8" t="inlineStr">
        <is>
          <t>Artemis</t>
        </is>
      </c>
      <c r="K10" s="8" t="inlineStr">
        <is>
          <t>Dionysus</t>
        </is>
      </c>
      <c r="L10" s="40" t="n"/>
      <c r="N10" s="8" t="inlineStr">
        <is>
          <t>Athena</t>
        </is>
      </c>
      <c r="O10" s="8" t="inlineStr">
        <is>
          <t>Persephone</t>
        </is>
      </c>
      <c r="P10" s="8" t="inlineStr">
        <is>
          <t>Artemis</t>
        </is>
      </c>
      <c r="Q10" s="8" t="inlineStr">
        <is>
          <t>Dionysus</t>
        </is>
      </c>
    </row>
    <row r="11">
      <c r="A11" s="8" t="inlineStr">
        <is>
          <t>Athena</t>
        </is>
      </c>
      <c r="B11" s="12" t="inlineStr">
        <is>
          <t>-</t>
        </is>
      </c>
      <c r="C11" s="8" t="n">
        <v>2</v>
      </c>
      <c r="D11" s="8" t="n">
        <v>2</v>
      </c>
      <c r="E11" s="8" t="n">
        <v>2</v>
      </c>
      <c r="F11" s="40" t="n"/>
      <c r="G11" s="8" t="inlineStr">
        <is>
          <t>Athena</t>
        </is>
      </c>
      <c r="H11" s="13" t="inlineStr">
        <is>
          <t>-</t>
        </is>
      </c>
      <c r="I11" s="22" t="n">
        <v>2</v>
      </c>
      <c r="J11" s="22" t="n">
        <v>2</v>
      </c>
      <c r="K11" s="22" t="n">
        <v>2</v>
      </c>
      <c r="L11" s="15" t="n"/>
      <c r="M11" s="8" t="inlineStr">
        <is>
          <t>Athena</t>
        </is>
      </c>
      <c r="N11" s="16" t="n"/>
      <c r="O11" s="23" t="n">
        <v>2</v>
      </c>
      <c r="P11" s="23" t="n">
        <v>2</v>
      </c>
      <c r="Q11" s="23" t="n">
        <v>2</v>
      </c>
      <c r="R11" s="23" t="n"/>
      <c r="S11" s="23" t="n"/>
      <c r="T11" s="23" t="n"/>
    </row>
    <row r="12">
      <c r="A12" s="8" t="inlineStr">
        <is>
          <t>Persephone</t>
        </is>
      </c>
      <c r="B12" s="8" t="n">
        <v>2</v>
      </c>
      <c r="C12" s="12" t="inlineStr">
        <is>
          <t>-</t>
        </is>
      </c>
      <c r="D12" s="8" t="n">
        <v>2</v>
      </c>
      <c r="E12" s="8" t="n">
        <v>2</v>
      </c>
      <c r="F12" s="40" t="n"/>
      <c r="G12" s="8" t="inlineStr">
        <is>
          <t>Persephone</t>
        </is>
      </c>
      <c r="H12" s="22" t="n">
        <v>2</v>
      </c>
      <c r="I12" s="13" t="n"/>
      <c r="J12" s="22" t="n">
        <v>2</v>
      </c>
      <c r="K12" s="22" t="n">
        <v>2</v>
      </c>
      <c r="L12" s="15" t="n"/>
      <c r="M12" s="8" t="inlineStr">
        <is>
          <t>Persephone</t>
        </is>
      </c>
      <c r="N12" s="23" t="n">
        <v>2</v>
      </c>
      <c r="O12" s="16" t="n"/>
      <c r="P12" s="23" t="n">
        <v>2</v>
      </c>
      <c r="Q12" s="23" t="n">
        <v>2</v>
      </c>
      <c r="R12" s="23" t="n"/>
      <c r="S12" s="23" t="n"/>
      <c r="T12" s="23" t="n"/>
    </row>
    <row r="13">
      <c r="A13" s="8" t="inlineStr">
        <is>
          <t>Artemis</t>
        </is>
      </c>
      <c r="B13" s="8" t="n">
        <v>2</v>
      </c>
      <c r="C13" s="8" t="n">
        <v>2</v>
      </c>
      <c r="D13" s="12" t="inlineStr">
        <is>
          <t>-</t>
        </is>
      </c>
      <c r="E13" s="8" t="n">
        <v>2</v>
      </c>
      <c r="F13" s="40" t="n"/>
      <c r="G13" s="8" t="inlineStr">
        <is>
          <t>Artemis</t>
        </is>
      </c>
      <c r="H13" s="22" t="n">
        <v>2</v>
      </c>
      <c r="I13" s="22" t="n">
        <v>2</v>
      </c>
      <c r="J13" s="13" t="inlineStr">
        <is>
          <t>-</t>
        </is>
      </c>
      <c r="K13" s="22" t="n">
        <v>2</v>
      </c>
      <c r="L13" s="15" t="n"/>
      <c r="M13" s="8" t="inlineStr">
        <is>
          <t>Artemis</t>
        </is>
      </c>
      <c r="N13" s="23" t="n">
        <v>2</v>
      </c>
      <c r="O13" s="23" t="n">
        <v>2</v>
      </c>
      <c r="P13" s="16" t="n"/>
      <c r="Q13" s="23" t="n">
        <v>2</v>
      </c>
      <c r="R13" s="23" t="n"/>
      <c r="S13" s="23" t="n"/>
      <c r="T13" s="23" t="n"/>
    </row>
    <row r="14">
      <c r="A14" s="8" t="inlineStr">
        <is>
          <t>Dionysus</t>
        </is>
      </c>
      <c r="B14" s="8" t="n">
        <v>2</v>
      </c>
      <c r="C14" s="8" t="n">
        <v>2</v>
      </c>
      <c r="D14" s="8" t="n">
        <v>2</v>
      </c>
      <c r="E14" s="12" t="inlineStr">
        <is>
          <t>-</t>
        </is>
      </c>
      <c r="F14" s="40" t="n"/>
      <c r="G14" s="8" t="inlineStr">
        <is>
          <t>Dionysus</t>
        </is>
      </c>
      <c r="H14" s="22" t="n">
        <v>2</v>
      </c>
      <c r="I14" s="22" t="n">
        <v>2</v>
      </c>
      <c r="J14" s="22" t="n">
        <v>2</v>
      </c>
      <c r="K14" s="13" t="inlineStr">
        <is>
          <t>-</t>
        </is>
      </c>
      <c r="L14" s="15" t="n"/>
      <c r="M14" s="8" t="inlineStr">
        <is>
          <t>Dionysus</t>
        </is>
      </c>
      <c r="N14" s="23" t="n">
        <v>2</v>
      </c>
      <c r="O14" s="23" t="n">
        <v>2</v>
      </c>
      <c r="P14" s="23" t="n">
        <v>2</v>
      </c>
      <c r="Q14" s="16" t="n"/>
      <c r="R14" s="23" t="n"/>
      <c r="S14" s="23" t="n"/>
      <c r="T14" s="23" t="n"/>
    </row>
    <row r="15">
      <c r="F15" s="40" t="n"/>
      <c r="H15" s="22" t="n"/>
      <c r="I15" s="22" t="n"/>
      <c r="J15" s="22" t="n"/>
      <c r="K15" s="22" t="n"/>
      <c r="L15" s="15" t="n"/>
      <c r="N15" s="23" t="n"/>
      <c r="O15" s="23" t="n"/>
      <c r="P15" s="23" t="n"/>
      <c r="Q15" s="23" t="n"/>
      <c r="R15" s="18" t="n"/>
      <c r="S15" s="23" t="n"/>
      <c r="T15" s="23" t="n"/>
    </row>
    <row r="16">
      <c r="F16" s="40" t="n"/>
      <c r="H16" s="22" t="n"/>
      <c r="I16" s="22" t="n"/>
      <c r="J16" s="22" t="n"/>
      <c r="K16" s="22" t="n"/>
      <c r="L16" s="19" t="n"/>
      <c r="N16" s="23" t="n"/>
      <c r="O16" s="23" t="n"/>
      <c r="P16" s="23" t="n"/>
      <c r="Q16" s="23" t="n"/>
      <c r="R16" s="23" t="n"/>
      <c r="S16" s="18" t="n"/>
      <c r="T16" s="23" t="n"/>
    </row>
    <row r="17">
      <c r="F17" s="40" t="n"/>
      <c r="H17" s="22" t="n"/>
      <c r="I17" s="22" t="n"/>
      <c r="J17" s="22" t="n"/>
      <c r="K17" s="22" t="n"/>
      <c r="L17" s="15" t="n"/>
      <c r="N17" s="23" t="n"/>
      <c r="O17" s="23" t="n"/>
      <c r="P17" s="23" t="n"/>
      <c r="Q17" s="23" t="n"/>
      <c r="R17" s="23" t="n"/>
      <c r="S17" s="23" t="n"/>
      <c r="T17" s="18" t="n"/>
    </row>
    <row r="18">
      <c r="L18" s="40" t="n"/>
    </row>
    <row r="19">
      <c r="L19" s="40" t="n"/>
    </row>
    <row r="20">
      <c r="L20" s="40" t="n"/>
    </row>
    <row r="21">
      <c r="L21" s="40" t="n"/>
    </row>
    <row r="22">
      <c r="L22" s="40" t="n"/>
    </row>
    <row r="24">
      <c r="A24" s="21" t="n"/>
      <c r="B24" s="41" t="n"/>
      <c r="C24" s="41" t="n"/>
      <c r="D24" s="41" t="n"/>
      <c r="E24" s="41" t="n"/>
      <c r="F24" s="41" t="n"/>
      <c r="G24" s="41" t="n"/>
      <c r="H24" s="41" t="n"/>
    </row>
    <row r="25">
      <c r="A25" s="21" t="n"/>
      <c r="B25" s="22" t="n"/>
      <c r="C25" s="21" t="n"/>
      <c r="D25" s="22" t="n"/>
      <c r="E25" s="21" t="n"/>
      <c r="F25" s="22" t="n"/>
      <c r="G25" s="22" t="n"/>
      <c r="H25" s="21" t="n"/>
    </row>
    <row r="26">
      <c r="A26" s="21" t="n"/>
      <c r="B26" s="23" t="n"/>
      <c r="C26" s="21" t="n"/>
      <c r="D26" s="23" t="n"/>
      <c r="E26" s="21" t="n"/>
      <c r="F26" s="22" t="n"/>
      <c r="G26" s="23" t="n"/>
      <c r="H26" s="41" t="n"/>
    </row>
    <row r="27">
      <c r="A27" s="21" t="n"/>
      <c r="B27" s="22" t="n"/>
      <c r="C27" s="21" t="n"/>
      <c r="D27" s="22" t="n"/>
      <c r="E27" s="21" t="n"/>
      <c r="F27" s="22" t="n"/>
      <c r="G27" s="41" t="n"/>
      <c r="H27" s="41" t="n"/>
    </row>
    <row r="28">
      <c r="A28" s="21" t="n"/>
      <c r="B28" s="22" t="n"/>
      <c r="C28" s="21" t="n"/>
      <c r="D28" s="22" t="n"/>
      <c r="E28" s="21" t="n"/>
      <c r="F28" s="22" t="n"/>
      <c r="G28" s="41" t="n"/>
      <c r="H28" s="41" t="n"/>
    </row>
    <row r="29">
      <c r="A29" s="21" t="n"/>
      <c r="B29" s="23" t="n"/>
      <c r="C29" s="21" t="n"/>
      <c r="D29" s="22" t="n"/>
      <c r="E29" s="41" t="n"/>
      <c r="F29" s="41" t="n"/>
      <c r="G29" s="41" t="n"/>
      <c r="H29" s="41" t="n"/>
    </row>
    <row r="30">
      <c r="A30" s="21" t="n"/>
      <c r="B30" s="22" t="n"/>
      <c r="C30" s="41" t="n"/>
      <c r="D30" s="41" t="n"/>
      <c r="E30" s="41" t="n"/>
      <c r="F30" s="41" t="n"/>
      <c r="G30" s="41" t="n"/>
      <c r="H30" s="4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S35"/>
  <sheetViews>
    <sheetView workbookViewId="0">
      <selection activeCell="A1" sqref="A1"/>
    </sheetView>
  </sheetViews>
  <sheetFormatPr baseColWidth="8" defaultColWidth="12.63" defaultRowHeight="15.75" customHeight="1"/>
  <cols>
    <col width="4.5" customWidth="1" style="44" min="3" max="3"/>
    <col width="4.63" customWidth="1" style="44" min="5" max="5"/>
    <col width="4" customWidth="1" style="44" min="7" max="7"/>
    <col hidden="1" width="19.13" customWidth="1" style="44" min="8" max="8"/>
    <col hidden="1" width="22.38" customWidth="1" style="44" min="9" max="9"/>
    <col hidden="1" width="6" customWidth="1" style="44" min="10" max="10"/>
    <col width="19.88" customWidth="1" style="44" min="11" max="11"/>
    <col width="19.38" customWidth="1" style="44" min="13" max="13"/>
    <col width="16.25" customWidth="1" style="44" min="18" max="18"/>
  </cols>
  <sheetData>
    <row r="1">
      <c r="A1" s="43" t="n"/>
      <c r="B1" s="45" t="inlineStr">
        <is>
          <t>Court 1</t>
        </is>
      </c>
      <c r="C1" s="46" t="n"/>
      <c r="D1" s="47" t="n"/>
      <c r="E1" s="41" t="n"/>
      <c r="F1" s="34" t="n"/>
      <c r="G1" s="41" t="n"/>
      <c r="H1" s="41" t="n"/>
      <c r="I1" s="41" t="n"/>
      <c r="J1" s="41" t="n"/>
      <c r="K1" s="6" t="n"/>
      <c r="S1" s="41" t="n"/>
    </row>
    <row r="2">
      <c r="A2" s="48" t="inlineStr">
        <is>
          <t>Game 01</t>
        </is>
      </c>
      <c r="B2" s="40" t="inlineStr">
        <is>
          <t xml:space="preserve">Athena </t>
        </is>
      </c>
      <c r="C2" s="33" t="n"/>
      <c r="D2" s="33" t="inlineStr">
        <is>
          <t>Persephone</t>
        </is>
      </c>
      <c r="E2" s="33" t="n"/>
      <c r="F2" s="34" t="n"/>
      <c r="G2" s="41" t="n"/>
      <c r="H2" s="41">
        <f>CONCAT(B2,D2)</f>
        <v/>
      </c>
      <c r="I2" s="41">
        <f>CONCAT(#REF!,#REF!)</f>
        <v/>
      </c>
      <c r="J2" s="41" t="n"/>
      <c r="S2" s="41" t="n"/>
    </row>
    <row r="3">
      <c r="A3" s="49" t="n"/>
      <c r="B3" s="50" t="inlineStr">
        <is>
          <t>Ref</t>
        </is>
      </c>
      <c r="C3" s="51" t="n"/>
      <c r="D3" s="52" t="n"/>
      <c r="E3" s="39" t="n"/>
      <c r="F3" s="34" t="n"/>
      <c r="G3" s="41" t="n"/>
      <c r="H3" s="41" t="n"/>
      <c r="I3" s="41" t="n"/>
      <c r="J3" s="41" t="n"/>
      <c r="S3" s="41" t="n"/>
    </row>
    <row r="4">
      <c r="A4" s="48" t="inlineStr">
        <is>
          <t>Game 02</t>
        </is>
      </c>
      <c r="B4" s="33" t="inlineStr">
        <is>
          <t>Artemis</t>
        </is>
      </c>
      <c r="C4" s="33" t="n"/>
      <c r="D4" s="33" t="inlineStr">
        <is>
          <t>Dionysus</t>
        </is>
      </c>
      <c r="E4" s="33" t="n"/>
      <c r="F4" s="34" t="n"/>
      <c r="G4" s="41" t="n"/>
      <c r="H4" s="41">
        <f>CONCAT(B4,D4)</f>
        <v/>
      </c>
      <c r="I4" s="41">
        <f>CONCAT(#REF!,#REF!)</f>
        <v/>
      </c>
      <c r="J4" s="41" t="n"/>
      <c r="K4" s="8" t="n"/>
      <c r="S4" s="41" t="n"/>
    </row>
    <row r="5">
      <c r="A5" s="49" t="n"/>
      <c r="B5" s="50" t="inlineStr">
        <is>
          <t>Ref</t>
        </is>
      </c>
      <c r="C5" s="51" t="n"/>
      <c r="D5" s="52" t="n"/>
      <c r="E5" s="39" t="n"/>
      <c r="F5" s="34" t="n"/>
      <c r="G5" s="41" t="n"/>
      <c r="H5" s="41" t="n"/>
      <c r="I5" s="41" t="n"/>
      <c r="J5" s="41" t="n"/>
      <c r="S5" s="41" t="n"/>
    </row>
    <row r="6">
      <c r="A6" s="48" t="inlineStr">
        <is>
          <t>Game 03</t>
        </is>
      </c>
      <c r="B6" s="33" t="inlineStr">
        <is>
          <t xml:space="preserve">Athena </t>
        </is>
      </c>
      <c r="C6" s="33" t="n"/>
      <c r="D6" s="40" t="inlineStr">
        <is>
          <t>Artemis</t>
        </is>
      </c>
      <c r="E6" s="33" t="n"/>
      <c r="F6" s="34" t="n"/>
      <c r="G6" s="41" t="n"/>
      <c r="H6" s="41">
        <f>CONCAT(B6,D6)</f>
        <v/>
      </c>
      <c r="I6" s="41">
        <f>CONCAT(#REF!,#REF!)</f>
        <v/>
      </c>
      <c r="J6" s="41" t="n"/>
      <c r="S6" s="41" t="n"/>
    </row>
    <row r="7">
      <c r="A7" s="49" t="n"/>
      <c r="B7" s="50" t="inlineStr">
        <is>
          <t>Ref</t>
        </is>
      </c>
      <c r="C7" s="51" t="n"/>
      <c r="D7" s="52" t="n"/>
      <c r="E7" s="39" t="n"/>
      <c r="F7" s="34" t="n"/>
      <c r="G7" s="41" t="n"/>
      <c r="H7" s="41" t="n"/>
      <c r="I7" s="41" t="n"/>
      <c r="J7" s="41" t="n"/>
      <c r="S7" s="41" t="n"/>
    </row>
    <row r="8">
      <c r="A8" s="48" t="inlineStr">
        <is>
          <t>Game 04</t>
        </is>
      </c>
      <c r="B8" s="33" t="inlineStr">
        <is>
          <t>Persephone</t>
        </is>
      </c>
      <c r="C8" s="33" t="n"/>
      <c r="D8" s="33" t="inlineStr">
        <is>
          <t>Dionysus</t>
        </is>
      </c>
      <c r="E8" s="33" t="n"/>
      <c r="F8" s="34" t="n"/>
      <c r="G8" s="41" t="n"/>
      <c r="H8" s="41">
        <f>CONCAT(B8,D8)</f>
        <v/>
      </c>
      <c r="I8" s="41">
        <f>CONCAT(#REF!,#REF!)</f>
        <v/>
      </c>
      <c r="J8" s="41" t="n"/>
      <c r="S8" s="41" t="n"/>
    </row>
    <row r="9">
      <c r="A9" s="49" t="n"/>
      <c r="B9" s="50" t="inlineStr">
        <is>
          <t>Ref</t>
        </is>
      </c>
      <c r="C9" s="51" t="n"/>
      <c r="D9" s="52" t="n"/>
      <c r="E9" s="39" t="n"/>
      <c r="F9" s="34" t="n"/>
      <c r="G9" s="41" t="n"/>
      <c r="H9" s="41" t="n"/>
      <c r="I9" s="41" t="n"/>
      <c r="J9" s="41" t="n"/>
      <c r="S9" s="41" t="n"/>
    </row>
    <row r="10">
      <c r="A10" s="48" t="inlineStr">
        <is>
          <t>Game 05</t>
        </is>
      </c>
      <c r="B10" s="33" t="inlineStr">
        <is>
          <t xml:space="preserve">Athena </t>
        </is>
      </c>
      <c r="C10" s="33" t="n"/>
      <c r="D10" s="33" t="inlineStr">
        <is>
          <t>Dionysus</t>
        </is>
      </c>
      <c r="E10" s="33" t="n"/>
      <c r="F10" s="34" t="n"/>
      <c r="G10" s="41" t="n"/>
      <c r="H10" s="41">
        <f>CONCAT(B10,D10)</f>
        <v/>
      </c>
      <c r="I10" s="41">
        <f>CONCAT(#REF!,#REF!)</f>
        <v/>
      </c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</row>
    <row r="11">
      <c r="A11" s="49" t="n"/>
      <c r="B11" s="50" t="inlineStr">
        <is>
          <t>Ref</t>
        </is>
      </c>
      <c r="C11" s="51" t="n"/>
      <c r="D11" s="52" t="n"/>
      <c r="E11" s="39" t="n"/>
      <c r="F11" s="34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</row>
    <row r="12">
      <c r="A12" s="48" t="inlineStr">
        <is>
          <t>Game 06</t>
        </is>
      </c>
      <c r="B12" s="33" t="inlineStr">
        <is>
          <t>Persephone</t>
        </is>
      </c>
      <c r="C12" s="33" t="n"/>
      <c r="D12" s="33" t="inlineStr">
        <is>
          <t>Artemis</t>
        </is>
      </c>
      <c r="E12" s="33" t="n"/>
      <c r="F12" s="34" t="n"/>
      <c r="G12" s="41" t="n"/>
      <c r="H12" s="41">
        <f>CONCAT(B12,D12)</f>
        <v/>
      </c>
      <c r="I12" s="41">
        <f>CONCAT(#REF!,#REF!)</f>
        <v/>
      </c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</row>
    <row r="13">
      <c r="A13" s="49" t="n"/>
      <c r="B13" s="50" t="inlineStr">
        <is>
          <t>Ref</t>
        </is>
      </c>
      <c r="C13" s="51" t="n"/>
      <c r="D13" s="52" t="n"/>
      <c r="E13" s="39" t="n"/>
      <c r="F13" s="34" t="n"/>
      <c r="G13" s="41" t="n"/>
      <c r="H13" s="41" t="n"/>
      <c r="I13" s="41" t="n"/>
      <c r="J13" s="41" t="n"/>
      <c r="K13" s="21" t="n"/>
      <c r="L13" s="41" t="n"/>
      <c r="M13" s="41" t="n"/>
      <c r="N13" s="41" t="n"/>
      <c r="O13" s="41" t="n"/>
      <c r="P13" s="41" t="n"/>
      <c r="Q13" s="41" t="n"/>
      <c r="R13" s="41" t="n"/>
      <c r="S13" s="41" t="n"/>
    </row>
    <row r="14">
      <c r="A14" s="48" t="inlineStr">
        <is>
          <t>Game 07</t>
        </is>
      </c>
      <c r="B14" s="33" t="inlineStr">
        <is>
          <t xml:space="preserve">Athena </t>
        </is>
      </c>
      <c r="C14" s="33" t="n"/>
      <c r="D14" s="40" t="inlineStr">
        <is>
          <t>Persephone</t>
        </is>
      </c>
      <c r="E14" s="33" t="n"/>
      <c r="F14" s="34" t="n"/>
      <c r="G14" s="41" t="n"/>
      <c r="H14" s="41">
        <f>CONCAT(B14,D14)</f>
        <v/>
      </c>
      <c r="I14" s="41">
        <f>CONCAT(#REF!,#REF!)</f>
        <v/>
      </c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</row>
    <row r="15">
      <c r="A15" s="49" t="n"/>
      <c r="B15" s="50" t="inlineStr">
        <is>
          <t>Ref</t>
        </is>
      </c>
      <c r="C15" s="51" t="n"/>
      <c r="D15" s="52" t="n"/>
      <c r="E15" s="39" t="n"/>
      <c r="F15" s="34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</row>
    <row r="16">
      <c r="A16" s="48" t="inlineStr">
        <is>
          <t>Game 08</t>
        </is>
      </c>
      <c r="B16" s="33" t="inlineStr">
        <is>
          <t>Artemis</t>
        </is>
      </c>
      <c r="C16" s="33" t="n"/>
      <c r="D16" s="33" t="inlineStr">
        <is>
          <t>Dionysus</t>
        </is>
      </c>
      <c r="E16" s="33" t="n"/>
      <c r="F16" s="34" t="n"/>
      <c r="G16" s="41" t="n"/>
      <c r="H16" s="41">
        <f>CONCAT(B16,D16)</f>
        <v/>
      </c>
      <c r="I16" s="41">
        <f>CONCAT(#REF!,#REF!)</f>
        <v/>
      </c>
      <c r="J16" s="41" t="inlineStr">
        <is>
          <t>Refs: Breezy F. Baby</t>
        </is>
      </c>
      <c r="L16" s="41" t="n"/>
      <c r="M16" s="41" t="n"/>
      <c r="N16" s="41" t="n"/>
      <c r="O16" s="41" t="n"/>
      <c r="P16" s="41" t="n"/>
      <c r="Q16" s="41" t="n"/>
      <c r="R16" s="41" t="n"/>
      <c r="S16" s="41" t="n"/>
    </row>
    <row r="17">
      <c r="A17" s="49" t="n"/>
      <c r="B17" s="50" t="inlineStr">
        <is>
          <t>Ref</t>
        </is>
      </c>
      <c r="C17" s="51" t="n"/>
      <c r="D17" s="52" t="n"/>
      <c r="E17" s="39" t="n"/>
      <c r="F17" s="34" t="n"/>
      <c r="G17" s="41" t="n"/>
      <c r="H17" s="41" t="n"/>
      <c r="I17" s="41" t="n"/>
      <c r="J17" s="41" t="inlineStr">
        <is>
          <t>Refs: Five Finger Steph Punch</t>
        </is>
      </c>
      <c r="K17" s="8" t="n"/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A18" s="48" t="inlineStr">
        <is>
          <t>Game 09</t>
        </is>
      </c>
      <c r="B18" s="40" t="inlineStr">
        <is>
          <t xml:space="preserve">Athena </t>
        </is>
      </c>
      <c r="C18" s="33" t="n"/>
      <c r="D18" s="33" t="inlineStr">
        <is>
          <t>Artemis</t>
        </is>
      </c>
      <c r="E18" s="33" t="n"/>
      <c r="F18" s="34" t="n"/>
      <c r="G18" s="41" t="n"/>
      <c r="H18" s="41">
        <f>CONCAT(B18,D18)</f>
        <v/>
      </c>
      <c r="I18" s="41">
        <f>CONCAT(#REF!,#REF!)</f>
        <v/>
      </c>
      <c r="J18" s="41" t="inlineStr">
        <is>
          <t>Refs: Clairvoyance</t>
        </is>
      </c>
      <c r="L18" s="41" t="n"/>
      <c r="M18" s="41" t="n"/>
      <c r="N18" s="41" t="n"/>
      <c r="O18" s="41" t="n"/>
      <c r="P18" s="41" t="n"/>
      <c r="Q18" s="41" t="n"/>
      <c r="R18" s="41" t="n"/>
      <c r="S18" s="41" t="n"/>
    </row>
    <row r="19">
      <c r="A19" s="49" t="n"/>
      <c r="B19" s="50" t="inlineStr">
        <is>
          <t>Ref</t>
        </is>
      </c>
      <c r="C19" s="51" t="n"/>
      <c r="D19" s="52" t="n"/>
      <c r="E19" s="39" t="n"/>
      <c r="F19" s="34" t="n"/>
      <c r="G19" s="41" t="n"/>
      <c r="H19" s="41" t="n"/>
      <c r="I19" s="41" t="n"/>
      <c r="J19" s="41" t="inlineStr">
        <is>
          <t>Refs: Julia's Ghoulias</t>
        </is>
      </c>
      <c r="L19" s="41" t="n"/>
      <c r="M19" s="41" t="n"/>
      <c r="N19" s="41" t="n"/>
      <c r="O19" s="41" t="n"/>
      <c r="P19" s="41" t="n"/>
      <c r="Q19" s="41" t="n"/>
      <c r="R19" s="41" t="n"/>
      <c r="S19" s="41" t="n"/>
    </row>
    <row r="20">
      <c r="A20" s="48" t="inlineStr">
        <is>
          <t>Game 10</t>
        </is>
      </c>
      <c r="B20" s="33" t="inlineStr">
        <is>
          <t>Persephone</t>
        </is>
      </c>
      <c r="C20" s="33" t="n"/>
      <c r="D20" s="33" t="inlineStr">
        <is>
          <t>Dionysus</t>
        </is>
      </c>
      <c r="E20" s="33" t="n"/>
      <c r="F20" s="34" t="n"/>
      <c r="G20" s="41" t="n"/>
      <c r="H20" s="41">
        <f>CONCAT(B20,D20)</f>
        <v/>
      </c>
      <c r="I20" s="41">
        <f>CONCAT(#REF!,#REF!)</f>
        <v/>
      </c>
      <c r="J20" s="41" t="inlineStr">
        <is>
          <t>Refs: Jo Knows</t>
        </is>
      </c>
      <c r="L20" s="41" t="n"/>
      <c r="M20" s="41" t="n"/>
      <c r="N20" s="41" t="n"/>
      <c r="O20" s="41" t="n"/>
      <c r="P20" s="41" t="n"/>
      <c r="Q20" s="41" t="n"/>
      <c r="R20" s="41" t="n"/>
      <c r="S20" s="41" t="n"/>
    </row>
    <row r="21">
      <c r="A21" s="49" t="n"/>
      <c r="B21" s="50" t="inlineStr">
        <is>
          <t>Ref</t>
        </is>
      </c>
      <c r="C21" s="51" t="n"/>
      <c r="D21" s="52" t="n"/>
      <c r="E21" s="39" t="n"/>
      <c r="F21" s="34" t="n"/>
      <c r="G21" s="41" t="n"/>
      <c r="H21" s="41" t="n"/>
      <c r="I21" s="41" t="n"/>
      <c r="J21" s="41" t="inlineStr">
        <is>
          <t>Refs: Lov(ie) Island</t>
        </is>
      </c>
      <c r="L21" s="41" t="n"/>
      <c r="M21" s="41" t="n"/>
      <c r="N21" s="41" t="n"/>
      <c r="O21" s="41" t="n"/>
      <c r="P21" s="41" t="n"/>
      <c r="Q21" s="41" t="n"/>
      <c r="R21" s="41" t="n"/>
      <c r="S21" s="41" t="n"/>
    </row>
    <row r="22">
      <c r="A22" s="48" t="inlineStr">
        <is>
          <t>Game 11</t>
        </is>
      </c>
      <c r="B22" s="33" t="inlineStr">
        <is>
          <t xml:space="preserve">Athena </t>
        </is>
      </c>
      <c r="C22" s="33" t="n"/>
      <c r="D22" s="33" t="inlineStr">
        <is>
          <t>Dionysus</t>
        </is>
      </c>
      <c r="E22" s="33" t="n"/>
      <c r="F22" s="34" t="n"/>
      <c r="G22" s="41" t="n"/>
      <c r="H22" s="41">
        <f>CONCAT(B22,D22)</f>
        <v/>
      </c>
      <c r="I22" s="41">
        <f>CONCAT(#REF!,#REF!)</f>
        <v/>
      </c>
      <c r="J22" s="41" t="inlineStr">
        <is>
          <t>Refs: Barbies and Kenzies</t>
        </is>
      </c>
      <c r="L22" s="41" t="n"/>
      <c r="M22" s="41" t="n"/>
      <c r="N22" s="41" t="n"/>
      <c r="O22" s="41" t="n"/>
      <c r="P22" s="41" t="n"/>
      <c r="Q22" s="41" t="n"/>
      <c r="R22" s="41" t="n"/>
      <c r="S22" s="41" t="n"/>
    </row>
    <row r="23">
      <c r="A23" s="49" t="n"/>
      <c r="B23" s="50" t="inlineStr">
        <is>
          <t>Ref</t>
        </is>
      </c>
      <c r="C23" s="51" t="n"/>
      <c r="D23" s="52" t="n"/>
      <c r="E23" s="39" t="n"/>
      <c r="F23" s="34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</row>
    <row r="24">
      <c r="A24" s="48" t="inlineStr">
        <is>
          <t>Game 12</t>
        </is>
      </c>
      <c r="B24" s="33" t="inlineStr">
        <is>
          <t>Persephone</t>
        </is>
      </c>
      <c r="C24" s="33" t="n"/>
      <c r="D24" s="33" t="inlineStr">
        <is>
          <t>Artemis</t>
        </is>
      </c>
      <c r="E24" s="33" t="n"/>
      <c r="F24" s="34" t="n"/>
      <c r="G24" s="41" t="n"/>
      <c r="H24" s="41">
        <f>CONCAT(B24,D24)</f>
        <v/>
      </c>
      <c r="I24" s="41">
        <f>CONCAT(#REF!,#REF!)</f>
        <v/>
      </c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</row>
    <row r="25">
      <c r="A25" s="49" t="n"/>
      <c r="B25" s="50" t="inlineStr">
        <is>
          <t>Ref</t>
        </is>
      </c>
      <c r="C25" s="51" t="n"/>
      <c r="D25" s="52" t="n"/>
      <c r="E25" s="39" t="n"/>
      <c r="F25" s="34" t="n"/>
      <c r="G25" s="41" t="n"/>
      <c r="H25" s="41" t="n"/>
      <c r="I25" s="41" t="n"/>
      <c r="J25" s="41" t="n"/>
      <c r="K25" s="6" t="n"/>
      <c r="S25" s="41" t="n"/>
    </row>
    <row r="26">
      <c r="A26" s="43" t="n"/>
      <c r="B26" s="43" t="n"/>
      <c r="C26" s="43" t="n"/>
      <c r="D26" s="43" t="n"/>
      <c r="E26" s="43" t="n"/>
      <c r="F26" s="34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</row>
    <row r="27">
      <c r="A27" s="43" t="n"/>
      <c r="B27" s="43" t="n"/>
      <c r="C27" s="43" t="n"/>
      <c r="D27" s="43" t="n"/>
      <c r="E27" s="43" t="n"/>
      <c r="F27" s="34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</row>
    <row r="28"/>
    <row r="29"/>
    <row r="30">
      <c r="A30" s="0" t="inlineStr">
        <is>
          <t>Team Wins/Losses This Week</t>
        </is>
      </c>
    </row>
    <row r="31">
      <c r="A31" s="0" t="inlineStr">
        <is>
          <t>Team Name</t>
        </is>
      </c>
      <c r="B31" s="0" t="inlineStr">
        <is>
          <t>Wins</t>
        </is>
      </c>
      <c r="C31" s="0" t="inlineStr">
        <is>
          <t>Losses</t>
        </is>
      </c>
    </row>
    <row r="32">
      <c r="A32" s="0" t="inlineStr">
        <is>
          <t>Artemis</t>
        </is>
      </c>
      <c r="B32" s="0">
        <f>SUMIFS(C:C,B:B,"Artemis")+SUMIFS(E:E,D:D,"Artemis")</f>
        <v/>
      </c>
      <c r="C32" s="0">
        <f>SUMIFS(E:E,B:B,"Artemis")+SUMIFS(C:C,D:D,"Artemis")</f>
        <v/>
      </c>
    </row>
    <row r="33">
      <c r="A33" s="0" t="inlineStr">
        <is>
          <t>Athena</t>
        </is>
      </c>
      <c r="B33" s="0">
        <f>SUMIFS(C:C,B:B,"Athena")+SUMIFS(E:E,D:D,"Athena")</f>
        <v/>
      </c>
      <c r="C33" s="0">
        <f>SUMIFS(E:E,B:B,"Athena")+SUMIFS(C:C,D:D,"Athena")</f>
        <v/>
      </c>
    </row>
    <row r="34">
      <c r="A34" s="0" t="inlineStr">
        <is>
          <t>Dionysus</t>
        </is>
      </c>
      <c r="B34" s="0">
        <f>SUMIFS(C:C,B:B,"Dionysus")+SUMIFS(E:E,D:D,"Dionysus")</f>
        <v/>
      </c>
      <c r="C34" s="0">
        <f>SUMIFS(E:E,B:B,"Dionysus")+SUMIFS(C:C,D:D,"Dionysus")</f>
        <v/>
      </c>
    </row>
    <row r="35">
      <c r="A35" s="0" t="inlineStr">
        <is>
          <t>Persephone</t>
        </is>
      </c>
      <c r="B35" s="0">
        <f>SUMIFS(C:C,B:B,"Persephone")+SUMIFS(E:E,D:D,"Persephone")</f>
        <v/>
      </c>
      <c r="C35" s="0">
        <f>SUMIFS(E:E,B:B,"Persephone")+SUMIFS(C:C,D:D,"Persephone")</f>
        <v/>
      </c>
    </row>
  </sheetData>
  <mergeCells count="25">
    <mergeCell ref="B11:D11"/>
    <mergeCell ref="A24:A25"/>
    <mergeCell ref="B23:D23"/>
    <mergeCell ref="B1:D1"/>
    <mergeCell ref="B17:D17"/>
    <mergeCell ref="B13:D13"/>
    <mergeCell ref="A16:A17"/>
    <mergeCell ref="A6:A7"/>
    <mergeCell ref="B19:D19"/>
    <mergeCell ref="A12:A13"/>
    <mergeCell ref="B9:D9"/>
    <mergeCell ref="A2:A3"/>
    <mergeCell ref="B15:D15"/>
    <mergeCell ref="A18:A19"/>
    <mergeCell ref="A14:A15"/>
    <mergeCell ref="B5:D5"/>
    <mergeCell ref="A8:A9"/>
    <mergeCell ref="A22:A23"/>
    <mergeCell ref="A4:A5"/>
    <mergeCell ref="A20:A21"/>
    <mergeCell ref="A10:A11"/>
    <mergeCell ref="B7:D7"/>
    <mergeCell ref="B25:D25"/>
    <mergeCell ref="B3:D3"/>
    <mergeCell ref="B21:D21"/>
  </mergeCells>
  <conditionalFormatting sqref="R13">
    <cfRule type="cellIs" priority="1" operator="equal" dxfId="1">
      <formula>0</formula>
    </cfRule>
  </conditionalFormatting>
  <conditionalFormatting sqref="L3:R9">
    <cfRule type="cellIs" priority="2" operator="equal" dxfId="1">
      <formula>0</formula>
    </cfRule>
  </conditionalFormatting>
  <printOptions horizontalCentered="1" gridLines="1"/>
  <pageMargins left="0.7" right="0.7" top="0.75" bottom="0.75" header="0" footer="0"/>
  <pageSetup orientation="portrait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S35"/>
  <sheetViews>
    <sheetView workbookViewId="0">
      <selection activeCell="A1" sqref="A1"/>
    </sheetView>
  </sheetViews>
  <sheetFormatPr baseColWidth="8" defaultColWidth="12.63" defaultRowHeight="15.75" customHeight="1"/>
  <cols>
    <col width="4.5" customWidth="1" style="44" min="3" max="3"/>
    <col width="4.63" customWidth="1" style="44" min="5" max="5"/>
    <col width="4" customWidth="1" style="44" min="7" max="7"/>
    <col hidden="1" width="19.13" customWidth="1" style="44" min="8" max="8"/>
    <col hidden="1" width="22.38" customWidth="1" style="44" min="9" max="9"/>
    <col hidden="1" width="6" customWidth="1" style="44" min="10" max="10"/>
    <col width="19.88" customWidth="1" style="44" min="11" max="11"/>
    <col width="19.38" customWidth="1" style="44" min="13" max="13"/>
    <col width="16.25" customWidth="1" style="44" min="18" max="18"/>
  </cols>
  <sheetData>
    <row r="1">
      <c r="A1" s="43" t="inlineStr">
        <is>
          <t> </t>
        </is>
      </c>
      <c r="B1" s="45" t="inlineStr">
        <is>
          <t>Court 1</t>
        </is>
      </c>
      <c r="C1" s="46" t="n"/>
      <c r="D1" s="47" t="n"/>
      <c r="E1" s="41" t="n"/>
      <c r="F1" s="34" t="n"/>
      <c r="G1" s="41" t="n"/>
      <c r="H1" s="41" t="n"/>
      <c r="I1" s="41" t="n"/>
      <c r="J1" s="41" t="n"/>
      <c r="K1" s="6" t="n"/>
      <c r="S1" s="41" t="n"/>
    </row>
    <row r="2">
      <c r="A2" s="48" t="inlineStr">
        <is>
          <t>Game 01</t>
        </is>
      </c>
      <c r="B2" s="40" t="inlineStr">
        <is>
          <t>Persephone</t>
        </is>
      </c>
      <c r="C2" s="33" t="n"/>
      <c r="D2" s="33" t="inlineStr">
        <is>
          <t>Artemis</t>
        </is>
      </c>
      <c r="E2" s="33" t="n"/>
      <c r="F2" s="34" t="n"/>
      <c r="G2" s="41" t="n"/>
      <c r="H2" s="41">
        <f>CONCAT(B2,D2)</f>
        <v/>
      </c>
      <c r="I2" s="41">
        <f>CONCAT(#REF!,#REF!)</f>
        <v/>
      </c>
      <c r="J2" s="41" t="n"/>
      <c r="S2" s="41" t="n"/>
    </row>
    <row r="3">
      <c r="A3" s="49" t="n"/>
      <c r="B3" s="50" t="inlineStr">
        <is>
          <t>Ref</t>
        </is>
      </c>
      <c r="C3" s="51" t="n"/>
      <c r="D3" s="52" t="n"/>
      <c r="E3" s="39" t="n"/>
      <c r="F3" s="34" t="n"/>
      <c r="G3" s="41" t="n"/>
      <c r="H3" s="41" t="n"/>
      <c r="I3" s="41" t="n"/>
      <c r="J3" s="41" t="n"/>
      <c r="S3" s="41" t="n"/>
    </row>
    <row r="4">
      <c r="A4" s="48" t="inlineStr">
        <is>
          <t>Game 02</t>
        </is>
      </c>
      <c r="B4" s="33" t="inlineStr">
        <is>
          <t xml:space="preserve">Athena </t>
        </is>
      </c>
      <c r="C4" s="33" t="n"/>
      <c r="D4" s="33" t="inlineStr">
        <is>
          <t>Dionysus</t>
        </is>
      </c>
      <c r="E4" s="33" t="n"/>
      <c r="F4" s="34" t="n"/>
      <c r="G4" s="41" t="n"/>
      <c r="H4" s="41">
        <f>CONCAT(B4,D4)</f>
        <v/>
      </c>
      <c r="I4" s="41">
        <f>CONCAT(#REF!,#REF!)</f>
        <v/>
      </c>
      <c r="J4" s="41" t="n"/>
      <c r="K4" s="8" t="n"/>
      <c r="S4" s="41" t="n"/>
    </row>
    <row r="5">
      <c r="A5" s="49" t="n"/>
      <c r="B5" s="50" t="inlineStr">
        <is>
          <t>Ref</t>
        </is>
      </c>
      <c r="C5" s="51" t="n"/>
      <c r="D5" s="52" t="n"/>
      <c r="E5" s="39" t="n"/>
      <c r="F5" s="34" t="n"/>
      <c r="G5" s="41" t="n"/>
      <c r="H5" s="41" t="n"/>
      <c r="I5" s="41" t="n"/>
      <c r="J5" s="41" t="n"/>
      <c r="S5" s="41" t="n"/>
    </row>
    <row r="6">
      <c r="A6" s="48" t="inlineStr">
        <is>
          <t>Game 03</t>
        </is>
      </c>
      <c r="B6" s="33" t="inlineStr">
        <is>
          <t>Persephone</t>
        </is>
      </c>
      <c r="C6" s="33" t="n"/>
      <c r="D6" s="40" t="inlineStr">
        <is>
          <t>Dionysus</t>
        </is>
      </c>
      <c r="E6" s="33" t="n"/>
      <c r="F6" s="34" t="n"/>
      <c r="G6" s="41" t="n"/>
      <c r="H6" s="41">
        <f>CONCAT(B6,D6)</f>
        <v/>
      </c>
      <c r="I6" s="41">
        <f>CONCAT(#REF!,#REF!)</f>
        <v/>
      </c>
      <c r="J6" s="41" t="n"/>
      <c r="K6" s="8" t="inlineStr">
        <is>
          <t> </t>
        </is>
      </c>
      <c r="S6" s="41" t="n"/>
    </row>
    <row r="7">
      <c r="A7" s="49" t="n"/>
      <c r="B7" s="50" t="inlineStr">
        <is>
          <t>Ref</t>
        </is>
      </c>
      <c r="C7" s="51" t="n"/>
      <c r="D7" s="52" t="n"/>
      <c r="E7" s="39" t="n"/>
      <c r="F7" s="34" t="n"/>
      <c r="G7" s="41" t="n"/>
      <c r="H7" s="41" t="n"/>
      <c r="I7" s="41" t="n"/>
      <c r="J7" s="41" t="n"/>
      <c r="S7" s="41" t="n"/>
    </row>
    <row r="8">
      <c r="A8" s="48" t="inlineStr">
        <is>
          <t>Game 04</t>
        </is>
      </c>
      <c r="B8" s="33" t="inlineStr">
        <is>
          <t xml:space="preserve">Athena </t>
        </is>
      </c>
      <c r="C8" s="33" t="n"/>
      <c r="D8" s="33" t="inlineStr">
        <is>
          <t>Artemis</t>
        </is>
      </c>
      <c r="E8" s="33" t="n"/>
      <c r="F8" s="34" t="n"/>
      <c r="G8" s="41" t="n"/>
      <c r="H8" s="41">
        <f>CONCAT(B8,D8)</f>
        <v/>
      </c>
      <c r="I8" s="41">
        <f>CONCAT(#REF!,#REF!)</f>
        <v/>
      </c>
      <c r="J8" s="41" t="n"/>
      <c r="S8" s="41" t="n"/>
    </row>
    <row r="9">
      <c r="A9" s="49" t="n"/>
      <c r="B9" s="50" t="inlineStr">
        <is>
          <t>Ref</t>
        </is>
      </c>
      <c r="C9" s="51" t="n"/>
      <c r="D9" s="52" t="n"/>
      <c r="E9" s="39" t="n"/>
      <c r="F9" s="34" t="n"/>
      <c r="G9" s="41" t="n"/>
      <c r="H9" s="41" t="n"/>
      <c r="I9" s="41" t="n"/>
      <c r="J9" s="41" t="n"/>
      <c r="S9" s="41" t="n"/>
    </row>
    <row r="10">
      <c r="A10" s="48" t="inlineStr">
        <is>
          <t>Game 05</t>
        </is>
      </c>
      <c r="B10" s="33" t="inlineStr">
        <is>
          <t>Artemis</t>
        </is>
      </c>
      <c r="C10" s="33" t="n"/>
      <c r="D10" s="33" t="inlineStr">
        <is>
          <t>Dionysus</t>
        </is>
      </c>
      <c r="E10" s="33" t="n"/>
      <c r="F10" s="34" t="n"/>
      <c r="G10" s="41" t="n"/>
      <c r="H10" s="41">
        <f>CONCAT(B10,D10)</f>
        <v/>
      </c>
      <c r="I10" s="41">
        <f>CONCAT(#REF!,#REF!)</f>
        <v/>
      </c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</row>
    <row r="11">
      <c r="A11" s="49" t="n"/>
      <c r="B11" s="50" t="inlineStr">
        <is>
          <t>Ref</t>
        </is>
      </c>
      <c r="C11" s="51" t="n"/>
      <c r="D11" s="52" t="n"/>
      <c r="E11" s="39" t="n"/>
      <c r="F11" s="34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</row>
    <row r="12">
      <c r="A12" s="48" t="inlineStr">
        <is>
          <t>Game 06</t>
        </is>
      </c>
      <c r="B12" s="33" t="inlineStr">
        <is>
          <t xml:space="preserve">Athena </t>
        </is>
      </c>
      <c r="C12" s="33" t="n"/>
      <c r="D12" s="33" t="inlineStr">
        <is>
          <t>Persephone</t>
        </is>
      </c>
      <c r="E12" s="33" t="n"/>
      <c r="F12" s="34" t="n"/>
      <c r="G12" s="41" t="n"/>
      <c r="H12" s="41">
        <f>CONCAT(B12,D12)</f>
        <v/>
      </c>
      <c r="I12" s="41">
        <f>CONCAT(#REF!,#REF!)</f>
        <v/>
      </c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</row>
    <row r="13">
      <c r="A13" s="49" t="n"/>
      <c r="B13" s="50" t="inlineStr">
        <is>
          <t>Ref</t>
        </is>
      </c>
      <c r="C13" s="51" t="n"/>
      <c r="D13" s="52" t="n"/>
      <c r="E13" s="39" t="n"/>
      <c r="F13" s="34" t="n"/>
      <c r="G13" s="41" t="n"/>
      <c r="H13" s="41" t="n"/>
      <c r="I13" s="41" t="n"/>
      <c r="J13" s="41" t="n"/>
      <c r="K13" s="21" t="n"/>
      <c r="L13" s="41" t="n"/>
      <c r="M13" s="41" t="n"/>
      <c r="N13" s="41" t="n"/>
      <c r="O13" s="41" t="n"/>
      <c r="P13" s="41" t="n"/>
      <c r="Q13" s="41" t="n"/>
      <c r="R13" s="41" t="n"/>
      <c r="S13" s="41" t="n"/>
    </row>
    <row r="14">
      <c r="A14" s="48" t="inlineStr">
        <is>
          <t>Game 07</t>
        </is>
      </c>
      <c r="B14" s="33" t="inlineStr">
        <is>
          <t>Persephone</t>
        </is>
      </c>
      <c r="C14" s="33" t="n"/>
      <c r="D14" s="40" t="inlineStr">
        <is>
          <t>Artemis</t>
        </is>
      </c>
      <c r="E14" s="33" t="n"/>
      <c r="F14" s="34" t="n"/>
      <c r="G14" s="41" t="n"/>
      <c r="H14" s="41">
        <f>CONCAT(B14,D14)</f>
        <v/>
      </c>
      <c r="I14" s="41">
        <f>CONCAT(#REF!,#REF!)</f>
        <v/>
      </c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</row>
    <row r="15">
      <c r="A15" s="49" t="n"/>
      <c r="B15" s="50" t="inlineStr">
        <is>
          <t>Ref</t>
        </is>
      </c>
      <c r="C15" s="51" t="n"/>
      <c r="D15" s="52" t="n"/>
      <c r="E15" s="39" t="n"/>
      <c r="F15" s="34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</row>
    <row r="16">
      <c r="A16" s="48" t="inlineStr">
        <is>
          <t>Game 08</t>
        </is>
      </c>
      <c r="B16" s="33" t="inlineStr">
        <is>
          <t xml:space="preserve">Athena </t>
        </is>
      </c>
      <c r="C16" s="33" t="n"/>
      <c r="D16" s="33" t="inlineStr">
        <is>
          <t>Dionysus</t>
        </is>
      </c>
      <c r="E16" s="33" t="n"/>
      <c r="F16" s="34" t="n"/>
      <c r="G16" s="41" t="n"/>
      <c r="H16" s="41">
        <f>CONCAT(B16,D16)</f>
        <v/>
      </c>
      <c r="I16" s="41">
        <f>CONCAT(#REF!,#REF!)</f>
        <v/>
      </c>
      <c r="J16" s="41" t="inlineStr">
        <is>
          <t>Refs: Breezy F. Baby</t>
        </is>
      </c>
      <c r="L16" s="41" t="n"/>
      <c r="M16" s="41" t="n"/>
      <c r="N16" s="41" t="n"/>
      <c r="O16" s="41" t="n"/>
      <c r="P16" s="41" t="n"/>
      <c r="Q16" s="41" t="n"/>
      <c r="R16" s="41" t="n"/>
      <c r="S16" s="41" t="n"/>
    </row>
    <row r="17">
      <c r="A17" s="49" t="n"/>
      <c r="B17" s="50" t="inlineStr">
        <is>
          <t>Ref</t>
        </is>
      </c>
      <c r="C17" s="51" t="n"/>
      <c r="D17" s="52" t="n"/>
      <c r="E17" s="39" t="n"/>
      <c r="F17" s="34" t="n"/>
      <c r="G17" s="41" t="n"/>
      <c r="H17" s="41" t="n"/>
      <c r="I17" s="41" t="n"/>
      <c r="J17" s="41" t="inlineStr">
        <is>
          <t>Refs: Five Finger Steph Punch</t>
        </is>
      </c>
      <c r="K17" s="8" t="n"/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A18" s="48" t="inlineStr">
        <is>
          <t>Game 09</t>
        </is>
      </c>
      <c r="B18" s="40" t="inlineStr">
        <is>
          <t>Persephone</t>
        </is>
      </c>
      <c r="C18" s="33" t="n"/>
      <c r="D18" s="33" t="inlineStr">
        <is>
          <t>Dionysus</t>
        </is>
      </c>
      <c r="E18" s="33" t="n"/>
      <c r="F18" s="34" t="n"/>
      <c r="G18" s="41" t="n"/>
      <c r="H18" s="41">
        <f>CONCAT(B18,D18)</f>
        <v/>
      </c>
      <c r="I18" s="41">
        <f>CONCAT(#REF!,#REF!)</f>
        <v/>
      </c>
      <c r="J18" s="41" t="inlineStr">
        <is>
          <t>Refs: Clairvoyance</t>
        </is>
      </c>
      <c r="L18" s="41" t="n"/>
      <c r="M18" s="41" t="n"/>
      <c r="N18" s="41" t="n"/>
      <c r="O18" s="41" t="n"/>
      <c r="P18" s="41" t="n"/>
      <c r="Q18" s="41" t="n"/>
      <c r="R18" s="41" t="n"/>
      <c r="S18" s="41" t="n"/>
    </row>
    <row r="19">
      <c r="A19" s="49" t="n"/>
      <c r="B19" s="50" t="inlineStr">
        <is>
          <t>Ref</t>
        </is>
      </c>
      <c r="C19" s="51" t="n"/>
      <c r="D19" s="52" t="n"/>
      <c r="E19" s="39" t="n"/>
      <c r="F19" s="34" t="n"/>
      <c r="G19" s="41" t="n"/>
      <c r="H19" s="41" t="n"/>
      <c r="I19" s="41" t="n"/>
      <c r="J19" s="41" t="inlineStr">
        <is>
          <t>Refs: Julia's Ghoulias</t>
        </is>
      </c>
      <c r="L19" s="41" t="n"/>
      <c r="M19" s="41" t="n"/>
      <c r="N19" s="41" t="n"/>
      <c r="O19" s="41" t="n"/>
      <c r="P19" s="41" t="n"/>
      <c r="Q19" s="41" t="n"/>
      <c r="R19" s="41" t="n"/>
      <c r="S19" s="41" t="n"/>
    </row>
    <row r="20">
      <c r="A20" s="48" t="inlineStr">
        <is>
          <t>Game 10</t>
        </is>
      </c>
      <c r="B20" s="33" t="inlineStr">
        <is>
          <t xml:space="preserve">Athena </t>
        </is>
      </c>
      <c r="C20" s="33" t="n"/>
      <c r="D20" s="33" t="inlineStr">
        <is>
          <t>Artemis</t>
        </is>
      </c>
      <c r="E20" s="33" t="n"/>
      <c r="F20" s="34" t="n"/>
      <c r="G20" s="41" t="n"/>
      <c r="H20" s="41">
        <f>CONCAT(B20,D20)</f>
        <v/>
      </c>
      <c r="I20" s="41">
        <f>CONCAT(#REF!,#REF!)</f>
        <v/>
      </c>
      <c r="J20" s="41" t="inlineStr">
        <is>
          <t>Refs: Jo Knows</t>
        </is>
      </c>
      <c r="L20" s="41" t="n"/>
      <c r="M20" s="41" t="n"/>
      <c r="N20" s="41" t="n"/>
      <c r="O20" s="41" t="n"/>
      <c r="P20" s="41" t="n"/>
      <c r="Q20" s="41" t="n"/>
      <c r="R20" s="41" t="n"/>
      <c r="S20" s="41" t="n"/>
    </row>
    <row r="21">
      <c r="A21" s="49" t="n"/>
      <c r="B21" s="50" t="inlineStr">
        <is>
          <t>Ref</t>
        </is>
      </c>
      <c r="C21" s="51" t="n"/>
      <c r="D21" s="52" t="n"/>
      <c r="E21" s="39" t="n"/>
      <c r="F21" s="34" t="n"/>
      <c r="G21" s="41" t="n"/>
      <c r="H21" s="41" t="n"/>
      <c r="I21" s="41" t="n"/>
      <c r="J21" s="41" t="inlineStr">
        <is>
          <t>Refs: Lov(ie) Island</t>
        </is>
      </c>
      <c r="L21" s="41" t="n"/>
      <c r="M21" s="41" t="n"/>
      <c r="N21" s="41" t="n"/>
      <c r="O21" s="41" t="n"/>
      <c r="P21" s="41" t="n"/>
      <c r="Q21" s="41" t="n"/>
      <c r="R21" s="41" t="n"/>
      <c r="S21" s="41" t="n"/>
    </row>
    <row r="22">
      <c r="A22" s="48" t="inlineStr">
        <is>
          <t>Game 11</t>
        </is>
      </c>
      <c r="B22" s="33" t="inlineStr">
        <is>
          <t>Artemis</t>
        </is>
      </c>
      <c r="C22" s="33" t="n"/>
      <c r="D22" s="33" t="inlineStr">
        <is>
          <t>Dionysus</t>
        </is>
      </c>
      <c r="E22" s="33" t="n"/>
      <c r="F22" s="34" t="n"/>
      <c r="G22" s="41" t="n"/>
      <c r="H22" s="41">
        <f>CONCAT(B22,D22)</f>
        <v/>
      </c>
      <c r="I22" s="41">
        <f>CONCAT(#REF!,#REF!)</f>
        <v/>
      </c>
      <c r="J22" s="41" t="inlineStr">
        <is>
          <t>Refs: Barbies and Kenzies</t>
        </is>
      </c>
      <c r="L22" s="41" t="n"/>
      <c r="M22" s="41" t="n"/>
      <c r="N22" s="41" t="n"/>
      <c r="O22" s="41" t="n"/>
      <c r="P22" s="41" t="n"/>
      <c r="Q22" s="41" t="n"/>
      <c r="R22" s="41" t="n"/>
      <c r="S22" s="41" t="n"/>
    </row>
    <row r="23">
      <c r="A23" s="49" t="n"/>
      <c r="B23" s="50" t="inlineStr">
        <is>
          <t>Ref</t>
        </is>
      </c>
      <c r="C23" s="51" t="n"/>
      <c r="D23" s="52" t="n"/>
      <c r="E23" s="39" t="n"/>
      <c r="F23" s="34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</row>
    <row r="24">
      <c r="A24" s="48" t="inlineStr">
        <is>
          <t>Game 12</t>
        </is>
      </c>
      <c r="B24" s="33" t="inlineStr">
        <is>
          <t xml:space="preserve">Athena </t>
        </is>
      </c>
      <c r="C24" s="33" t="n"/>
      <c r="D24" s="33" t="inlineStr">
        <is>
          <t>Persephone</t>
        </is>
      </c>
      <c r="E24" s="33" t="n"/>
      <c r="F24" s="34" t="n"/>
      <c r="G24" s="41" t="n"/>
      <c r="H24" s="41">
        <f>CONCAT(B24,D24)</f>
        <v/>
      </c>
      <c r="I24" s="41">
        <f>CONCAT(#REF!,#REF!)</f>
        <v/>
      </c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</row>
    <row r="25">
      <c r="A25" s="49" t="n"/>
      <c r="B25" s="50" t="inlineStr">
        <is>
          <t>Ref</t>
        </is>
      </c>
      <c r="C25" s="51" t="n"/>
      <c r="D25" s="52" t="n"/>
      <c r="E25" s="39" t="n"/>
      <c r="F25" s="34" t="n"/>
      <c r="G25" s="41" t="n"/>
      <c r="H25" s="41" t="n"/>
      <c r="I25" s="41" t="n"/>
      <c r="J25" s="41" t="n"/>
      <c r="K25" s="6" t="n"/>
      <c r="S25" s="41" t="n"/>
    </row>
    <row r="26">
      <c r="A26" s="43" t="n"/>
      <c r="B26" s="43" t="n"/>
      <c r="C26" s="43" t="n"/>
      <c r="D26" s="43" t="n"/>
      <c r="E26" s="43" t="n"/>
      <c r="F26" s="34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</row>
    <row r="27">
      <c r="A27" s="43" t="n"/>
      <c r="B27" s="43" t="n"/>
      <c r="C27" s="43" t="n"/>
      <c r="D27" s="43" t="n"/>
      <c r="E27" s="43" t="n"/>
      <c r="F27" s="34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</row>
    <row r="28"/>
    <row r="29"/>
    <row r="30">
      <c r="A30" s="0" t="inlineStr">
        <is>
          <t>Team Wins/Losses This Week</t>
        </is>
      </c>
    </row>
    <row r="31">
      <c r="A31" s="0" t="inlineStr">
        <is>
          <t>Team Name</t>
        </is>
      </c>
      <c r="B31" s="0" t="inlineStr">
        <is>
          <t>Wins</t>
        </is>
      </c>
      <c r="C31" s="0" t="inlineStr">
        <is>
          <t>Losses</t>
        </is>
      </c>
    </row>
    <row r="32">
      <c r="A32" s="0" t="inlineStr">
        <is>
          <t>Artemis</t>
        </is>
      </c>
      <c r="B32" s="0">
        <f>SUMIFS(C:C,B:B,"Artemis")+SUMIFS(E:E,D:D,"Artemis")</f>
        <v/>
      </c>
      <c r="C32" s="0">
        <f>SUMIFS(E:E,B:B,"Artemis")+SUMIFS(C:C,D:D,"Artemis")</f>
        <v/>
      </c>
    </row>
    <row r="33">
      <c r="A33" s="0" t="inlineStr">
        <is>
          <t>Athena</t>
        </is>
      </c>
      <c r="B33" s="0">
        <f>SUMIFS(C:C,B:B,"Athena")+SUMIFS(E:E,D:D,"Athena")</f>
        <v/>
      </c>
      <c r="C33" s="0">
        <f>SUMIFS(E:E,B:B,"Athena")+SUMIFS(C:C,D:D,"Athena")</f>
        <v/>
      </c>
    </row>
    <row r="34">
      <c r="A34" s="0" t="inlineStr">
        <is>
          <t>Dionysus</t>
        </is>
      </c>
      <c r="B34" s="0">
        <f>SUMIFS(C:C,B:B,"Dionysus")+SUMIFS(E:E,D:D,"Dionysus")</f>
        <v/>
      </c>
      <c r="C34" s="0">
        <f>SUMIFS(E:E,B:B,"Dionysus")+SUMIFS(C:C,D:D,"Dionysus")</f>
        <v/>
      </c>
    </row>
    <row r="35">
      <c r="A35" s="0" t="inlineStr">
        <is>
          <t>Persephone</t>
        </is>
      </c>
      <c r="B35" s="0">
        <f>SUMIFS(C:C,B:B,"Persephone")+SUMIFS(E:E,D:D,"Persephone")</f>
        <v/>
      </c>
      <c r="C35" s="0">
        <f>SUMIFS(E:E,B:B,"Persephone")+SUMIFS(C:C,D:D,"Persephone")</f>
        <v/>
      </c>
    </row>
  </sheetData>
  <mergeCells count="25">
    <mergeCell ref="B11:D11"/>
    <mergeCell ref="A24:A25"/>
    <mergeCell ref="B23:D23"/>
    <mergeCell ref="B1:D1"/>
    <mergeCell ref="B17:D17"/>
    <mergeCell ref="B13:D13"/>
    <mergeCell ref="A16:A17"/>
    <mergeCell ref="A6:A7"/>
    <mergeCell ref="B19:D19"/>
    <mergeCell ref="A12:A13"/>
    <mergeCell ref="B9:D9"/>
    <mergeCell ref="A2:A3"/>
    <mergeCell ref="B15:D15"/>
    <mergeCell ref="A18:A19"/>
    <mergeCell ref="A14:A15"/>
    <mergeCell ref="B5:D5"/>
    <mergeCell ref="A8:A9"/>
    <mergeCell ref="A22:A23"/>
    <mergeCell ref="A4:A5"/>
    <mergeCell ref="A20:A21"/>
    <mergeCell ref="A10:A11"/>
    <mergeCell ref="B7:D7"/>
    <mergeCell ref="B25:D25"/>
    <mergeCell ref="B3:D3"/>
    <mergeCell ref="B21:D21"/>
  </mergeCells>
  <conditionalFormatting sqref="R13">
    <cfRule type="cellIs" priority="1" operator="equal" dxfId="1">
      <formula>0</formula>
    </cfRule>
  </conditionalFormatting>
  <conditionalFormatting sqref="L3:R9">
    <cfRule type="cellIs" priority="2" operator="equal" dxfId="1">
      <formula>0</formula>
    </cfRule>
  </conditionalFormatting>
  <printOptions horizontalCentered="1" gridLines="1"/>
  <pageMargins left="0.7" right="0.7" top="0.75" bottom="0.75" header="0" footer="0"/>
  <pageSetup orientation="portrait" fitToHeight="0" pageOrder="overThenDown" cellComments="atEnd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S35"/>
  <sheetViews>
    <sheetView workbookViewId="0">
      <selection activeCell="A1" sqref="A1"/>
    </sheetView>
  </sheetViews>
  <sheetFormatPr baseColWidth="8" defaultColWidth="12.63" defaultRowHeight="15.75" customHeight="1"/>
  <cols>
    <col width="4.5" customWidth="1" style="44" min="3" max="3"/>
    <col width="4.63" customWidth="1" style="44" min="5" max="5"/>
    <col width="4" customWidth="1" style="44" min="7" max="7"/>
    <col hidden="1" width="19.13" customWidth="1" style="44" min="8" max="8"/>
    <col hidden="1" width="22.38" customWidth="1" style="44" min="9" max="9"/>
    <col hidden="1" width="6" customWidth="1" style="44" min="10" max="10"/>
    <col width="19.88" customWidth="1" style="44" min="11" max="11"/>
    <col width="19.38" customWidth="1" style="44" min="13" max="13"/>
    <col width="16.25" customWidth="1" style="44" min="18" max="18"/>
  </cols>
  <sheetData>
    <row r="1">
      <c r="A1" s="43" t="n"/>
      <c r="B1" s="45" t="inlineStr">
        <is>
          <t>Court 1</t>
        </is>
      </c>
      <c r="C1" s="46" t="n"/>
      <c r="D1" s="47" t="n"/>
      <c r="E1" s="41" t="n"/>
      <c r="F1" s="34" t="n"/>
      <c r="G1" s="41" t="n"/>
      <c r="H1" s="41" t="n"/>
      <c r="I1" s="41" t="n"/>
      <c r="J1" s="41" t="n"/>
      <c r="K1" s="6" t="n"/>
      <c r="S1" s="41" t="n"/>
    </row>
    <row r="2">
      <c r="A2" s="48" t="inlineStr">
        <is>
          <t>Game 01</t>
        </is>
      </c>
      <c r="B2" s="40" t="inlineStr">
        <is>
          <t xml:space="preserve">Athena </t>
        </is>
      </c>
      <c r="C2" s="33" t="n"/>
      <c r="D2" s="33" t="inlineStr">
        <is>
          <t>Persephone</t>
        </is>
      </c>
      <c r="E2" s="33" t="n"/>
      <c r="F2" s="34" t="n"/>
      <c r="G2" s="41" t="n"/>
      <c r="H2" s="41">
        <f>CONCAT(B2,D2)</f>
        <v/>
      </c>
      <c r="I2" s="41">
        <f>CONCAT(#REF!,#REF!)</f>
        <v/>
      </c>
      <c r="J2" s="41" t="n"/>
      <c r="S2" s="41" t="n"/>
    </row>
    <row r="3">
      <c r="A3" s="49" t="n"/>
      <c r="B3" s="50" t="inlineStr">
        <is>
          <t>Ref</t>
        </is>
      </c>
      <c r="C3" s="51" t="n"/>
      <c r="D3" s="52" t="n"/>
      <c r="E3" s="39" t="n"/>
      <c r="F3" s="34" t="n"/>
      <c r="G3" s="41" t="n"/>
      <c r="H3" s="41" t="n"/>
      <c r="I3" s="41" t="n"/>
      <c r="J3" s="41" t="n"/>
      <c r="S3" s="41" t="n"/>
    </row>
    <row r="4">
      <c r="A4" s="48" t="inlineStr">
        <is>
          <t>Game 02</t>
        </is>
      </c>
      <c r="B4" s="33" t="inlineStr">
        <is>
          <t>Artemis</t>
        </is>
      </c>
      <c r="C4" s="33" t="n"/>
      <c r="D4" s="33" t="inlineStr">
        <is>
          <t>Dionysus</t>
        </is>
      </c>
      <c r="E4" s="33" t="n"/>
      <c r="F4" s="34" t="n"/>
      <c r="G4" s="41" t="n"/>
      <c r="H4" s="41">
        <f>CONCAT(B4,D4)</f>
        <v/>
      </c>
      <c r="I4" s="41">
        <f>CONCAT(#REF!,#REF!)</f>
        <v/>
      </c>
      <c r="J4" s="41" t="n"/>
      <c r="K4" s="8" t="n"/>
      <c r="S4" s="41" t="n"/>
    </row>
    <row r="5">
      <c r="A5" s="49" t="n"/>
      <c r="B5" s="50" t="inlineStr">
        <is>
          <t>Ref</t>
        </is>
      </c>
      <c r="C5" s="51" t="n"/>
      <c r="D5" s="52" t="n"/>
      <c r="E5" s="39" t="n"/>
      <c r="F5" s="34" t="n"/>
      <c r="G5" s="41" t="n"/>
      <c r="H5" s="41" t="n"/>
      <c r="I5" s="41" t="n"/>
      <c r="J5" s="41" t="n"/>
      <c r="S5" s="41" t="n"/>
    </row>
    <row r="6">
      <c r="A6" s="48" t="inlineStr">
        <is>
          <t>Game 03</t>
        </is>
      </c>
      <c r="B6" s="33" t="inlineStr">
        <is>
          <t xml:space="preserve">Athena </t>
        </is>
      </c>
      <c r="C6" s="33" t="n"/>
      <c r="D6" s="40" t="inlineStr">
        <is>
          <t>Artemis</t>
        </is>
      </c>
      <c r="E6" s="33" t="n"/>
      <c r="F6" s="34" t="n"/>
      <c r="G6" s="41" t="n"/>
      <c r="H6" s="41">
        <f>CONCAT(B6,D6)</f>
        <v/>
      </c>
      <c r="I6" s="41">
        <f>CONCAT(#REF!,#REF!)</f>
        <v/>
      </c>
      <c r="J6" s="41" t="n"/>
      <c r="S6" s="41" t="n"/>
    </row>
    <row r="7">
      <c r="A7" s="49" t="n"/>
      <c r="B7" s="50" t="inlineStr">
        <is>
          <t>Ref</t>
        </is>
      </c>
      <c r="C7" s="51" t="n"/>
      <c r="D7" s="52" t="n"/>
      <c r="E7" s="39" t="n"/>
      <c r="F7" s="34" t="n"/>
      <c r="G7" s="41" t="n"/>
      <c r="H7" s="41" t="n"/>
      <c r="I7" s="41" t="n"/>
      <c r="J7" s="41" t="n"/>
      <c r="S7" s="41" t="n"/>
    </row>
    <row r="8">
      <c r="A8" s="48" t="inlineStr">
        <is>
          <t>Game 04</t>
        </is>
      </c>
      <c r="B8" s="33" t="inlineStr">
        <is>
          <t>Persephone</t>
        </is>
      </c>
      <c r="C8" s="33" t="n"/>
      <c r="D8" s="33" t="inlineStr">
        <is>
          <t>Dionysus</t>
        </is>
      </c>
      <c r="E8" s="33" t="n"/>
      <c r="F8" s="34" t="n"/>
      <c r="G8" s="41" t="n"/>
      <c r="H8" s="41">
        <f>CONCAT(B8,D8)</f>
        <v/>
      </c>
      <c r="I8" s="41">
        <f>CONCAT(#REF!,#REF!)</f>
        <v/>
      </c>
      <c r="J8" s="41" t="n"/>
      <c r="S8" s="41" t="n"/>
    </row>
    <row r="9">
      <c r="A9" s="49" t="n"/>
      <c r="B9" s="50" t="inlineStr">
        <is>
          <t>Ref</t>
        </is>
      </c>
      <c r="C9" s="51" t="n"/>
      <c r="D9" s="52" t="n"/>
      <c r="E9" s="39" t="n"/>
      <c r="F9" s="34" t="n"/>
      <c r="G9" s="41" t="n"/>
      <c r="H9" s="41" t="n"/>
      <c r="I9" s="41" t="n"/>
      <c r="J9" s="41" t="n"/>
      <c r="S9" s="41" t="n"/>
    </row>
    <row r="10">
      <c r="A10" s="48" t="inlineStr">
        <is>
          <t>Game 05</t>
        </is>
      </c>
      <c r="B10" s="33" t="inlineStr">
        <is>
          <t xml:space="preserve">Athena </t>
        </is>
      </c>
      <c r="C10" s="33" t="n"/>
      <c r="D10" s="33" t="inlineStr">
        <is>
          <t>Dionysus</t>
        </is>
      </c>
      <c r="E10" s="33" t="n"/>
      <c r="F10" s="34" t="n"/>
      <c r="G10" s="41" t="n"/>
      <c r="H10" s="41">
        <f>CONCAT(B10,D10)</f>
        <v/>
      </c>
      <c r="I10" s="41">
        <f>CONCAT(#REF!,#REF!)</f>
        <v/>
      </c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</row>
    <row r="11">
      <c r="A11" s="49" t="n"/>
      <c r="B11" s="50" t="inlineStr">
        <is>
          <t>Ref</t>
        </is>
      </c>
      <c r="C11" s="51" t="n"/>
      <c r="D11" s="52" t="n"/>
      <c r="E11" s="39" t="n"/>
      <c r="F11" s="34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</row>
    <row r="12">
      <c r="A12" s="48" t="inlineStr">
        <is>
          <t>Game 06</t>
        </is>
      </c>
      <c r="B12" s="33" t="inlineStr">
        <is>
          <t>Persephone</t>
        </is>
      </c>
      <c r="C12" s="33" t="n"/>
      <c r="D12" s="33" t="inlineStr">
        <is>
          <t>Artemis</t>
        </is>
      </c>
      <c r="E12" s="33" t="n"/>
      <c r="F12" s="34" t="n"/>
      <c r="G12" s="41" t="n"/>
      <c r="H12" s="41">
        <f>CONCAT(B12,D12)</f>
        <v/>
      </c>
      <c r="I12" s="41">
        <f>CONCAT(#REF!,#REF!)</f>
        <v/>
      </c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</row>
    <row r="13">
      <c r="A13" s="49" t="n"/>
      <c r="B13" s="50" t="inlineStr">
        <is>
          <t>Ref</t>
        </is>
      </c>
      <c r="C13" s="51" t="n"/>
      <c r="D13" s="52" t="n"/>
      <c r="E13" s="39" t="n"/>
      <c r="F13" s="34" t="n"/>
      <c r="G13" s="41" t="n"/>
      <c r="H13" s="41" t="n"/>
      <c r="I13" s="41" t="n"/>
      <c r="J13" s="41" t="n"/>
      <c r="K13" s="21" t="n"/>
      <c r="L13" s="41" t="n"/>
      <c r="M13" s="41" t="n"/>
      <c r="N13" s="41" t="n"/>
      <c r="O13" s="41" t="n"/>
      <c r="P13" s="41" t="n"/>
      <c r="Q13" s="41" t="n"/>
      <c r="R13" s="41" t="n"/>
      <c r="S13" s="41" t="n"/>
    </row>
    <row r="14">
      <c r="A14" s="48" t="inlineStr">
        <is>
          <t>Game 07</t>
        </is>
      </c>
      <c r="B14" s="33" t="inlineStr">
        <is>
          <t xml:space="preserve">Athena </t>
        </is>
      </c>
      <c r="C14" s="33" t="n"/>
      <c r="D14" s="40" t="inlineStr">
        <is>
          <t>Persephone</t>
        </is>
      </c>
      <c r="E14" s="33" t="n"/>
      <c r="F14" s="34" t="n"/>
      <c r="G14" s="41" t="n"/>
      <c r="H14" s="41">
        <f>CONCAT(B14,D14)</f>
        <v/>
      </c>
      <c r="I14" s="41">
        <f>CONCAT(#REF!,#REF!)</f>
        <v/>
      </c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</row>
    <row r="15">
      <c r="A15" s="49" t="n"/>
      <c r="B15" s="50" t="inlineStr">
        <is>
          <t>Ref</t>
        </is>
      </c>
      <c r="C15" s="51" t="n"/>
      <c r="D15" s="52" t="n"/>
      <c r="E15" s="39" t="n"/>
      <c r="F15" s="34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</row>
    <row r="16">
      <c r="A16" s="48" t="inlineStr">
        <is>
          <t>Game 08</t>
        </is>
      </c>
      <c r="B16" s="33" t="inlineStr">
        <is>
          <t>Artemis</t>
        </is>
      </c>
      <c r="C16" s="33" t="n"/>
      <c r="D16" s="33" t="inlineStr">
        <is>
          <t>Dionysus</t>
        </is>
      </c>
      <c r="E16" s="33" t="n"/>
      <c r="F16" s="34" t="n"/>
      <c r="G16" s="41" t="n"/>
      <c r="H16" s="41">
        <f>CONCAT(B16,D16)</f>
        <v/>
      </c>
      <c r="I16" s="41">
        <f>CONCAT(#REF!,#REF!)</f>
        <v/>
      </c>
      <c r="J16" s="41" t="inlineStr">
        <is>
          <t>Refs: Breezy F. Baby</t>
        </is>
      </c>
      <c r="L16" s="41" t="n"/>
      <c r="M16" s="41" t="n"/>
      <c r="N16" s="41" t="n"/>
      <c r="O16" s="41" t="n"/>
      <c r="P16" s="41" t="n"/>
      <c r="Q16" s="41" t="n"/>
      <c r="R16" s="41" t="n"/>
      <c r="S16" s="41" t="n"/>
    </row>
    <row r="17">
      <c r="A17" s="49" t="n"/>
      <c r="B17" s="50" t="inlineStr">
        <is>
          <t>Ref</t>
        </is>
      </c>
      <c r="C17" s="51" t="n"/>
      <c r="D17" s="52" t="n"/>
      <c r="E17" s="39" t="n"/>
      <c r="F17" s="34" t="n"/>
      <c r="G17" s="41" t="n"/>
      <c r="H17" s="41" t="n"/>
      <c r="I17" s="41" t="n"/>
      <c r="J17" s="41" t="inlineStr">
        <is>
          <t>Refs: Five Finger Steph Punch</t>
        </is>
      </c>
      <c r="K17" s="8" t="n"/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A18" s="48" t="inlineStr">
        <is>
          <t>Game 09</t>
        </is>
      </c>
      <c r="B18" s="40" t="inlineStr">
        <is>
          <t xml:space="preserve">Athena </t>
        </is>
      </c>
      <c r="C18" s="33" t="n"/>
      <c r="D18" s="33" t="inlineStr">
        <is>
          <t>Artemis</t>
        </is>
      </c>
      <c r="E18" s="33" t="n"/>
      <c r="F18" s="34" t="n"/>
      <c r="G18" s="41" t="n"/>
      <c r="H18" s="41">
        <f>CONCAT(B18,D18)</f>
        <v/>
      </c>
      <c r="I18" s="41">
        <f>CONCAT(#REF!,#REF!)</f>
        <v/>
      </c>
      <c r="J18" s="41" t="inlineStr">
        <is>
          <t>Refs: Clairvoyance</t>
        </is>
      </c>
      <c r="L18" s="41" t="n"/>
      <c r="M18" s="41" t="n"/>
      <c r="N18" s="41" t="n"/>
      <c r="O18" s="41" t="n"/>
      <c r="P18" s="41" t="n"/>
      <c r="Q18" s="41" t="n"/>
      <c r="R18" s="41" t="n"/>
      <c r="S18" s="41" t="n"/>
    </row>
    <row r="19">
      <c r="A19" s="49" t="n"/>
      <c r="B19" s="50" t="inlineStr">
        <is>
          <t>Ref</t>
        </is>
      </c>
      <c r="C19" s="51" t="n"/>
      <c r="D19" s="52" t="n"/>
      <c r="E19" s="39" t="n"/>
      <c r="F19" s="34" t="n"/>
      <c r="G19" s="41" t="n"/>
      <c r="H19" s="41" t="n"/>
      <c r="I19" s="41" t="n"/>
      <c r="J19" s="41" t="inlineStr">
        <is>
          <t>Refs: Julia's Ghoulias</t>
        </is>
      </c>
      <c r="L19" s="41" t="n"/>
      <c r="M19" s="41" t="n"/>
      <c r="N19" s="41" t="n"/>
      <c r="O19" s="41" t="n"/>
      <c r="P19" s="41" t="n"/>
      <c r="Q19" s="41" t="n"/>
      <c r="R19" s="41" t="n"/>
      <c r="S19" s="41" t="n"/>
    </row>
    <row r="20">
      <c r="A20" s="48" t="inlineStr">
        <is>
          <t>Game 10</t>
        </is>
      </c>
      <c r="B20" s="33" t="inlineStr">
        <is>
          <t>Persephone</t>
        </is>
      </c>
      <c r="C20" s="33" t="n"/>
      <c r="D20" s="33" t="inlineStr">
        <is>
          <t>Dionysus</t>
        </is>
      </c>
      <c r="E20" s="33" t="n"/>
      <c r="F20" s="34" t="n"/>
      <c r="G20" s="41" t="n"/>
      <c r="H20" s="41">
        <f>CONCAT(B20,D20)</f>
        <v/>
      </c>
      <c r="I20" s="41">
        <f>CONCAT(#REF!,#REF!)</f>
        <v/>
      </c>
      <c r="J20" s="41" t="inlineStr">
        <is>
          <t>Refs: Jo Knows</t>
        </is>
      </c>
      <c r="L20" s="41" t="n"/>
      <c r="M20" s="41" t="n"/>
      <c r="N20" s="41" t="n"/>
      <c r="O20" s="41" t="n"/>
      <c r="P20" s="41" t="n"/>
      <c r="Q20" s="41" t="n"/>
      <c r="R20" s="41" t="n"/>
      <c r="S20" s="41" t="n"/>
    </row>
    <row r="21">
      <c r="A21" s="49" t="n"/>
      <c r="B21" s="50" t="inlineStr">
        <is>
          <t>Ref</t>
        </is>
      </c>
      <c r="C21" s="51" t="n"/>
      <c r="D21" s="52" t="n"/>
      <c r="E21" s="39" t="n"/>
      <c r="F21" s="34" t="n"/>
      <c r="G21" s="41" t="n"/>
      <c r="H21" s="41" t="n"/>
      <c r="I21" s="41" t="n"/>
      <c r="J21" s="41" t="inlineStr">
        <is>
          <t>Refs: Lov(ie) Island</t>
        </is>
      </c>
      <c r="L21" s="41" t="n"/>
      <c r="M21" s="41" t="n"/>
      <c r="N21" s="41" t="n"/>
      <c r="O21" s="41" t="n"/>
      <c r="P21" s="41" t="n"/>
      <c r="Q21" s="41" t="n"/>
      <c r="R21" s="41" t="n"/>
      <c r="S21" s="41" t="n"/>
    </row>
    <row r="22">
      <c r="A22" s="48" t="inlineStr">
        <is>
          <t>Game 11</t>
        </is>
      </c>
      <c r="B22" s="33" t="inlineStr">
        <is>
          <t xml:space="preserve">Athena </t>
        </is>
      </c>
      <c r="C22" s="33" t="n"/>
      <c r="D22" s="33" t="inlineStr">
        <is>
          <t>Dionysus</t>
        </is>
      </c>
      <c r="E22" s="33" t="n"/>
      <c r="F22" s="34" t="n"/>
      <c r="G22" s="41" t="n"/>
      <c r="H22" s="41">
        <f>CONCAT(B22,D22)</f>
        <v/>
      </c>
      <c r="I22" s="41">
        <f>CONCAT(#REF!,#REF!)</f>
        <v/>
      </c>
      <c r="J22" s="41" t="inlineStr">
        <is>
          <t>Refs: Barbies and Kenzies</t>
        </is>
      </c>
      <c r="L22" s="41" t="n"/>
      <c r="M22" s="41" t="n"/>
      <c r="N22" s="41" t="n"/>
      <c r="O22" s="41" t="n"/>
      <c r="P22" s="41" t="n"/>
      <c r="Q22" s="41" t="n"/>
      <c r="R22" s="41" t="n"/>
      <c r="S22" s="41" t="n"/>
    </row>
    <row r="23">
      <c r="A23" s="49" t="n"/>
      <c r="B23" s="50" t="inlineStr">
        <is>
          <t>Ref</t>
        </is>
      </c>
      <c r="C23" s="51" t="n"/>
      <c r="D23" s="52" t="n"/>
      <c r="E23" s="39" t="n"/>
      <c r="F23" s="34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</row>
    <row r="24">
      <c r="A24" s="48" t="inlineStr">
        <is>
          <t>Game 12</t>
        </is>
      </c>
      <c r="B24" s="33" t="inlineStr">
        <is>
          <t>Persephone</t>
        </is>
      </c>
      <c r="C24" s="33" t="n"/>
      <c r="D24" s="33" t="inlineStr">
        <is>
          <t>Artemis</t>
        </is>
      </c>
      <c r="E24" s="33" t="n"/>
      <c r="F24" s="34" t="n"/>
      <c r="G24" s="41" t="n"/>
      <c r="H24" s="41">
        <f>CONCAT(B24,D24)</f>
        <v/>
      </c>
      <c r="I24" s="41">
        <f>CONCAT(#REF!,#REF!)</f>
        <v/>
      </c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</row>
    <row r="25">
      <c r="A25" s="49" t="n"/>
      <c r="B25" s="50" t="inlineStr">
        <is>
          <t>Ref</t>
        </is>
      </c>
      <c r="C25" s="51" t="n"/>
      <c r="D25" s="52" t="n"/>
      <c r="E25" s="39" t="n"/>
      <c r="F25" s="34" t="n"/>
      <c r="G25" s="41" t="n"/>
      <c r="H25" s="41" t="n"/>
      <c r="I25" s="41" t="n"/>
      <c r="J25" s="41" t="n"/>
      <c r="K25" s="6" t="n"/>
      <c r="S25" s="41" t="n"/>
    </row>
    <row r="26">
      <c r="A26" s="43" t="n"/>
      <c r="B26" s="43" t="n"/>
      <c r="C26" s="43" t="n"/>
      <c r="D26" s="43" t="n"/>
      <c r="E26" s="43" t="n"/>
      <c r="F26" s="34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</row>
    <row r="27">
      <c r="A27" s="43" t="n"/>
      <c r="B27" s="43" t="n"/>
      <c r="C27" s="43" t="n"/>
      <c r="D27" s="43" t="n"/>
      <c r="E27" s="43" t="n"/>
      <c r="F27" s="34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</row>
    <row r="28"/>
    <row r="29"/>
    <row r="30">
      <c r="A30" s="0" t="inlineStr">
        <is>
          <t>Team Wins/Losses This Week</t>
        </is>
      </c>
    </row>
    <row r="31">
      <c r="A31" s="0" t="inlineStr">
        <is>
          <t>Team Name</t>
        </is>
      </c>
      <c r="B31" s="0" t="inlineStr">
        <is>
          <t>Wins</t>
        </is>
      </c>
      <c r="C31" s="0" t="inlineStr">
        <is>
          <t>Losses</t>
        </is>
      </c>
    </row>
    <row r="32">
      <c r="A32" s="0" t="inlineStr">
        <is>
          <t>Artemis</t>
        </is>
      </c>
      <c r="B32" s="0">
        <f>SUMIFS(C:C,B:B,"Artemis")+SUMIFS(E:E,D:D,"Artemis")</f>
        <v/>
      </c>
      <c r="C32" s="0">
        <f>SUMIFS(E:E,B:B,"Artemis")+SUMIFS(C:C,D:D,"Artemis")</f>
        <v/>
      </c>
    </row>
    <row r="33">
      <c r="A33" s="0" t="inlineStr">
        <is>
          <t>Athena</t>
        </is>
      </c>
      <c r="B33" s="0">
        <f>SUMIFS(C:C,B:B,"Athena")+SUMIFS(E:E,D:D,"Athena")</f>
        <v/>
      </c>
      <c r="C33" s="0">
        <f>SUMIFS(E:E,B:B,"Athena")+SUMIFS(C:C,D:D,"Athena")</f>
        <v/>
      </c>
    </row>
    <row r="34">
      <c r="A34" s="0" t="inlineStr">
        <is>
          <t>Dionysus</t>
        </is>
      </c>
      <c r="B34" s="0">
        <f>SUMIFS(C:C,B:B,"Dionysus")+SUMIFS(E:E,D:D,"Dionysus")</f>
        <v/>
      </c>
      <c r="C34" s="0">
        <f>SUMIFS(E:E,B:B,"Dionysus")+SUMIFS(C:C,D:D,"Dionysus")</f>
        <v/>
      </c>
    </row>
    <row r="35">
      <c r="A35" s="0" t="inlineStr">
        <is>
          <t>Persephone</t>
        </is>
      </c>
      <c r="B35" s="0">
        <f>SUMIFS(C:C,B:B,"Persephone")+SUMIFS(E:E,D:D,"Persephone")</f>
        <v/>
      </c>
      <c r="C35" s="0">
        <f>SUMIFS(E:E,B:B,"Persephone")+SUMIFS(C:C,D:D,"Persephone")</f>
        <v/>
      </c>
    </row>
  </sheetData>
  <mergeCells count="25">
    <mergeCell ref="B11:D11"/>
    <mergeCell ref="A24:A25"/>
    <mergeCell ref="B23:D23"/>
    <mergeCell ref="B1:D1"/>
    <mergeCell ref="B17:D17"/>
    <mergeCell ref="B13:D13"/>
    <mergeCell ref="A16:A17"/>
    <mergeCell ref="A6:A7"/>
    <mergeCell ref="B19:D19"/>
    <mergeCell ref="A12:A13"/>
    <mergeCell ref="B9:D9"/>
    <mergeCell ref="A2:A3"/>
    <mergeCell ref="B15:D15"/>
    <mergeCell ref="A18:A19"/>
    <mergeCell ref="A14:A15"/>
    <mergeCell ref="B5:D5"/>
    <mergeCell ref="A8:A9"/>
    <mergeCell ref="A22:A23"/>
    <mergeCell ref="A4:A5"/>
    <mergeCell ref="A20:A21"/>
    <mergeCell ref="A10:A11"/>
    <mergeCell ref="B7:D7"/>
    <mergeCell ref="B25:D25"/>
    <mergeCell ref="B3:D3"/>
    <mergeCell ref="B21:D21"/>
  </mergeCells>
  <conditionalFormatting sqref="R13">
    <cfRule type="cellIs" priority="1" operator="equal" dxfId="1">
      <formula>0</formula>
    </cfRule>
  </conditionalFormatting>
  <conditionalFormatting sqref="L3:R9">
    <cfRule type="cellIs" priority="2" operator="equal" dxfId="1">
      <formula>0</formula>
    </cfRule>
  </conditionalFormatting>
  <printOptions horizontalCentered="1" gridLines="1"/>
  <pageMargins left="0.7" right="0.7" top="0.75" bottom="0.75" header="0" footer="0"/>
  <pageSetup orientation="portrait" fitToHeight="0" pageOrder="overThenDown" cellComments="atEnd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S35"/>
  <sheetViews>
    <sheetView workbookViewId="0">
      <selection activeCell="A1" sqref="A1"/>
    </sheetView>
  </sheetViews>
  <sheetFormatPr baseColWidth="8" defaultColWidth="12.63" defaultRowHeight="15.75" customHeight="1"/>
  <cols>
    <col width="4.5" customWidth="1" style="44" min="3" max="3"/>
    <col width="4.63" customWidth="1" style="44" min="5" max="5"/>
    <col width="4" customWidth="1" style="44" min="7" max="7"/>
    <col hidden="1" width="19.13" customWidth="1" style="44" min="8" max="8"/>
    <col hidden="1" width="22.38" customWidth="1" style="44" min="9" max="9"/>
    <col hidden="1" width="6" customWidth="1" style="44" min="10" max="10"/>
    <col width="19.88" customWidth="1" style="44" min="11" max="11"/>
    <col width="19.38" customWidth="1" style="44" min="13" max="13"/>
    <col width="16.25" customWidth="1" style="44" min="18" max="18"/>
  </cols>
  <sheetData>
    <row r="1">
      <c r="A1" s="43" t="n"/>
      <c r="B1" s="45" t="inlineStr">
        <is>
          <t>Court 1</t>
        </is>
      </c>
      <c r="C1" s="46" t="n"/>
      <c r="D1" s="47" t="n"/>
      <c r="E1" s="41" t="n"/>
      <c r="F1" s="34" t="n"/>
      <c r="G1" s="41" t="n"/>
      <c r="H1" s="41" t="n"/>
      <c r="I1" s="41" t="n"/>
      <c r="J1" s="41" t="n"/>
      <c r="K1" s="6" t="n"/>
      <c r="S1" s="41" t="n"/>
    </row>
    <row r="2">
      <c r="A2" s="48" t="inlineStr">
        <is>
          <t>Game 01</t>
        </is>
      </c>
      <c r="B2" s="40" t="inlineStr">
        <is>
          <t>Persephone</t>
        </is>
      </c>
      <c r="C2" s="33" t="n"/>
      <c r="D2" s="33" t="inlineStr">
        <is>
          <t>Artemis</t>
        </is>
      </c>
      <c r="E2" s="33" t="n"/>
      <c r="F2" s="34" t="n"/>
      <c r="G2" s="41" t="n"/>
      <c r="H2" s="41">
        <f>CONCAT(B2,D2)</f>
        <v/>
      </c>
      <c r="I2" s="41">
        <f>CONCAT(#REF!,#REF!)</f>
        <v/>
      </c>
      <c r="J2" s="41" t="n"/>
      <c r="S2" s="41" t="n"/>
    </row>
    <row r="3">
      <c r="A3" s="49" t="n"/>
      <c r="B3" s="50" t="inlineStr">
        <is>
          <t>Ref</t>
        </is>
      </c>
      <c r="C3" s="51" t="n"/>
      <c r="D3" s="52" t="n"/>
      <c r="E3" s="39" t="n"/>
      <c r="F3" s="34" t="n"/>
      <c r="G3" s="41" t="n"/>
      <c r="H3" s="41" t="n"/>
      <c r="I3" s="41" t="n"/>
      <c r="J3" s="41" t="n"/>
      <c r="S3" s="41" t="n"/>
    </row>
    <row r="4">
      <c r="A4" s="48" t="inlineStr">
        <is>
          <t>Game 02</t>
        </is>
      </c>
      <c r="B4" s="33" t="inlineStr">
        <is>
          <t xml:space="preserve">Athena </t>
        </is>
      </c>
      <c r="C4" s="33" t="n"/>
      <c r="D4" s="33" t="inlineStr">
        <is>
          <t>Dionysus</t>
        </is>
      </c>
      <c r="E4" s="33" t="n"/>
      <c r="F4" s="34" t="n"/>
      <c r="G4" s="41" t="n"/>
      <c r="H4" s="41">
        <f>CONCAT(B4,D4)</f>
        <v/>
      </c>
      <c r="I4" s="41">
        <f>CONCAT(#REF!,#REF!)</f>
        <v/>
      </c>
      <c r="J4" s="41" t="n"/>
      <c r="K4" s="8" t="n"/>
      <c r="S4" s="41" t="n"/>
    </row>
    <row r="5">
      <c r="A5" s="49" t="n"/>
      <c r="B5" s="50" t="inlineStr">
        <is>
          <t>Ref</t>
        </is>
      </c>
      <c r="C5" s="51" t="n"/>
      <c r="D5" s="52" t="n"/>
      <c r="E5" s="39" t="n"/>
      <c r="F5" s="34" t="n"/>
      <c r="G5" s="41" t="n"/>
      <c r="H5" s="41" t="n"/>
      <c r="I5" s="41" t="n"/>
      <c r="J5" s="41" t="n"/>
      <c r="S5" s="41" t="n"/>
    </row>
    <row r="6">
      <c r="A6" s="48" t="inlineStr">
        <is>
          <t>Game 03</t>
        </is>
      </c>
      <c r="B6" s="33" t="inlineStr">
        <is>
          <t>Persephone</t>
        </is>
      </c>
      <c r="C6" s="33" t="n"/>
      <c r="D6" s="40" t="inlineStr">
        <is>
          <t>Dionysus</t>
        </is>
      </c>
      <c r="E6" s="33" t="n"/>
      <c r="F6" s="34" t="n"/>
      <c r="G6" s="41" t="n"/>
      <c r="H6" s="41">
        <f>CONCAT(B6,D6)</f>
        <v/>
      </c>
      <c r="I6" s="41">
        <f>CONCAT(#REF!,#REF!)</f>
        <v/>
      </c>
      <c r="J6" s="41" t="n"/>
      <c r="S6" s="41" t="n"/>
    </row>
    <row r="7">
      <c r="A7" s="49" t="n"/>
      <c r="B7" s="50" t="inlineStr">
        <is>
          <t>Ref</t>
        </is>
      </c>
      <c r="C7" s="51" t="n"/>
      <c r="D7" s="52" t="n"/>
      <c r="E7" s="39" t="n"/>
      <c r="F7" s="34" t="n"/>
      <c r="G7" s="41" t="n"/>
      <c r="H7" s="41" t="n"/>
      <c r="I7" s="41" t="n"/>
      <c r="J7" s="41" t="n"/>
      <c r="S7" s="41" t="n"/>
    </row>
    <row r="8">
      <c r="A8" s="48" t="inlineStr">
        <is>
          <t>Game 04</t>
        </is>
      </c>
      <c r="B8" s="33" t="inlineStr">
        <is>
          <t xml:space="preserve">Athena </t>
        </is>
      </c>
      <c r="C8" s="33" t="n"/>
      <c r="D8" s="33" t="inlineStr">
        <is>
          <t>Artemis</t>
        </is>
      </c>
      <c r="E8" s="33" t="n"/>
      <c r="F8" s="34" t="n"/>
      <c r="G8" s="41" t="n"/>
      <c r="H8" s="41">
        <f>CONCAT(B8,D8)</f>
        <v/>
      </c>
      <c r="I8" s="41">
        <f>CONCAT(#REF!,#REF!)</f>
        <v/>
      </c>
      <c r="J8" s="41" t="n"/>
      <c r="S8" s="41" t="n"/>
    </row>
    <row r="9">
      <c r="A9" s="49" t="n"/>
      <c r="B9" s="50" t="inlineStr">
        <is>
          <t>Ref</t>
        </is>
      </c>
      <c r="C9" s="51" t="n"/>
      <c r="D9" s="52" t="n"/>
      <c r="E9" s="39" t="n"/>
      <c r="F9" s="34" t="n"/>
      <c r="G9" s="41" t="n"/>
      <c r="H9" s="41" t="n"/>
      <c r="I9" s="41" t="n"/>
      <c r="J9" s="41" t="n"/>
      <c r="S9" s="41" t="n"/>
    </row>
    <row r="10">
      <c r="A10" s="48" t="inlineStr">
        <is>
          <t>Game 05</t>
        </is>
      </c>
      <c r="B10" s="33" t="inlineStr">
        <is>
          <t>Artemis</t>
        </is>
      </c>
      <c r="C10" s="33" t="n"/>
      <c r="D10" s="33" t="inlineStr">
        <is>
          <t>Dionysus</t>
        </is>
      </c>
      <c r="E10" s="33" t="n"/>
      <c r="F10" s="34" t="n"/>
      <c r="G10" s="41" t="n"/>
      <c r="H10" s="41">
        <f>CONCAT(B10,D10)</f>
        <v/>
      </c>
      <c r="I10" s="41">
        <f>CONCAT(#REF!,#REF!)</f>
        <v/>
      </c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</row>
    <row r="11">
      <c r="A11" s="49" t="n"/>
      <c r="B11" s="50" t="inlineStr">
        <is>
          <t>Ref</t>
        </is>
      </c>
      <c r="C11" s="51" t="n"/>
      <c r="D11" s="52" t="n"/>
      <c r="E11" s="39" t="n"/>
      <c r="F11" s="34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</row>
    <row r="12">
      <c r="A12" s="48" t="inlineStr">
        <is>
          <t>Game 06</t>
        </is>
      </c>
      <c r="B12" s="33" t="inlineStr">
        <is>
          <t xml:space="preserve">Athena </t>
        </is>
      </c>
      <c r="C12" s="33" t="n"/>
      <c r="D12" s="33" t="inlineStr">
        <is>
          <t>Persephone</t>
        </is>
      </c>
      <c r="E12" s="33" t="n"/>
      <c r="F12" s="34" t="n"/>
      <c r="G12" s="41" t="n"/>
      <c r="H12" s="41">
        <f>CONCAT(B12,D12)</f>
        <v/>
      </c>
      <c r="I12" s="41">
        <f>CONCAT(#REF!,#REF!)</f>
        <v/>
      </c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</row>
    <row r="13">
      <c r="A13" s="49" t="n"/>
      <c r="B13" s="50" t="inlineStr">
        <is>
          <t>Ref</t>
        </is>
      </c>
      <c r="C13" s="51" t="n"/>
      <c r="D13" s="52" t="n"/>
      <c r="E13" s="39" t="n"/>
      <c r="F13" s="34" t="n"/>
      <c r="G13" s="41" t="n"/>
      <c r="H13" s="41" t="n"/>
      <c r="I13" s="41" t="n"/>
      <c r="J13" s="41" t="n"/>
      <c r="K13" s="21" t="n"/>
      <c r="L13" s="41" t="n"/>
      <c r="M13" s="41" t="n"/>
      <c r="N13" s="41" t="n"/>
      <c r="O13" s="41" t="n"/>
      <c r="P13" s="41" t="n"/>
      <c r="Q13" s="41" t="n"/>
      <c r="R13" s="41" t="n"/>
      <c r="S13" s="41" t="n"/>
    </row>
    <row r="14">
      <c r="A14" s="48" t="inlineStr">
        <is>
          <t>Game 07</t>
        </is>
      </c>
      <c r="B14" s="33" t="inlineStr">
        <is>
          <t>Persephone</t>
        </is>
      </c>
      <c r="C14" s="33" t="n"/>
      <c r="D14" s="40" t="inlineStr">
        <is>
          <t>Artemis</t>
        </is>
      </c>
      <c r="E14" s="33" t="n"/>
      <c r="F14" s="34" t="n"/>
      <c r="G14" s="41" t="n"/>
      <c r="H14" s="41">
        <f>CONCAT(B14,D14)</f>
        <v/>
      </c>
      <c r="I14" s="41">
        <f>CONCAT(#REF!,#REF!)</f>
        <v/>
      </c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</row>
    <row r="15">
      <c r="A15" s="49" t="n"/>
      <c r="B15" s="50" t="inlineStr">
        <is>
          <t>Ref</t>
        </is>
      </c>
      <c r="C15" s="51" t="n"/>
      <c r="D15" s="52" t="n"/>
      <c r="E15" s="39" t="n"/>
      <c r="F15" s="34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</row>
    <row r="16">
      <c r="A16" s="48" t="inlineStr">
        <is>
          <t>Game 08</t>
        </is>
      </c>
      <c r="B16" s="33" t="inlineStr">
        <is>
          <t xml:space="preserve">Athena </t>
        </is>
      </c>
      <c r="C16" s="33" t="n"/>
      <c r="D16" s="33" t="inlineStr">
        <is>
          <t>Dionysus</t>
        </is>
      </c>
      <c r="E16" s="33" t="n"/>
      <c r="F16" s="34" t="n"/>
      <c r="G16" s="41" t="n"/>
      <c r="H16" s="41">
        <f>CONCAT(B16,D16)</f>
        <v/>
      </c>
      <c r="I16" s="41">
        <f>CONCAT(#REF!,#REF!)</f>
        <v/>
      </c>
      <c r="J16" s="41" t="inlineStr">
        <is>
          <t>Refs: Breezy F. Baby</t>
        </is>
      </c>
      <c r="L16" s="41" t="n"/>
      <c r="M16" s="41" t="n"/>
      <c r="N16" s="41" t="n"/>
      <c r="O16" s="41" t="n"/>
      <c r="P16" s="41" t="n"/>
      <c r="Q16" s="41" t="n"/>
      <c r="R16" s="41" t="n"/>
      <c r="S16" s="41" t="n"/>
    </row>
    <row r="17">
      <c r="A17" s="49" t="n"/>
      <c r="B17" s="50" t="inlineStr">
        <is>
          <t>Ref</t>
        </is>
      </c>
      <c r="C17" s="51" t="n"/>
      <c r="D17" s="52" t="n"/>
      <c r="E17" s="39" t="n"/>
      <c r="F17" s="34" t="n"/>
      <c r="G17" s="41" t="n"/>
      <c r="H17" s="41" t="n"/>
      <c r="I17" s="41" t="n"/>
      <c r="J17" s="41" t="inlineStr">
        <is>
          <t>Refs: Five Finger Steph Punch</t>
        </is>
      </c>
      <c r="K17" s="8" t="n"/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A18" s="48" t="inlineStr">
        <is>
          <t>Game 09</t>
        </is>
      </c>
      <c r="B18" s="40" t="inlineStr">
        <is>
          <t>Persephone</t>
        </is>
      </c>
      <c r="C18" s="33" t="n"/>
      <c r="D18" s="33" t="inlineStr">
        <is>
          <t>Dionysus</t>
        </is>
      </c>
      <c r="E18" s="33" t="n"/>
      <c r="F18" s="34" t="n"/>
      <c r="G18" s="41" t="n"/>
      <c r="H18" s="41">
        <f>CONCAT(B18,D18)</f>
        <v/>
      </c>
      <c r="I18" s="41">
        <f>CONCAT(#REF!,#REF!)</f>
        <v/>
      </c>
      <c r="J18" s="41" t="inlineStr">
        <is>
          <t>Refs: Clairvoyance</t>
        </is>
      </c>
      <c r="L18" s="41" t="n"/>
      <c r="M18" s="41" t="n"/>
      <c r="N18" s="41" t="n"/>
      <c r="O18" s="41" t="n"/>
      <c r="P18" s="41" t="n"/>
      <c r="Q18" s="41" t="n"/>
      <c r="R18" s="41" t="n"/>
      <c r="S18" s="41" t="n"/>
    </row>
    <row r="19">
      <c r="A19" s="49" t="n"/>
      <c r="B19" s="50" t="inlineStr">
        <is>
          <t>Ref</t>
        </is>
      </c>
      <c r="C19" s="51" t="n"/>
      <c r="D19" s="52" t="n"/>
      <c r="E19" s="39" t="n"/>
      <c r="F19" s="34" t="n"/>
      <c r="G19" s="41" t="n"/>
      <c r="H19" s="41" t="n"/>
      <c r="I19" s="41" t="n"/>
      <c r="J19" s="41" t="inlineStr">
        <is>
          <t>Refs: Julia's Ghoulias</t>
        </is>
      </c>
      <c r="L19" s="41" t="n"/>
      <c r="M19" s="41" t="n"/>
      <c r="N19" s="41" t="n"/>
      <c r="O19" s="41" t="n"/>
      <c r="P19" s="41" t="n"/>
      <c r="Q19" s="41" t="n"/>
      <c r="R19" s="41" t="n"/>
      <c r="S19" s="41" t="n"/>
    </row>
    <row r="20">
      <c r="A20" s="48" t="inlineStr">
        <is>
          <t>Game 10</t>
        </is>
      </c>
      <c r="B20" s="33" t="inlineStr">
        <is>
          <t xml:space="preserve">Athena </t>
        </is>
      </c>
      <c r="C20" s="33" t="n"/>
      <c r="D20" s="33" t="inlineStr">
        <is>
          <t>Artemis</t>
        </is>
      </c>
      <c r="E20" s="33" t="n"/>
      <c r="F20" s="34" t="n"/>
      <c r="G20" s="41" t="n"/>
      <c r="H20" s="41">
        <f>CONCAT(B20,D20)</f>
        <v/>
      </c>
      <c r="I20" s="41">
        <f>CONCAT(#REF!,#REF!)</f>
        <v/>
      </c>
      <c r="J20" s="41" t="inlineStr">
        <is>
          <t>Refs: Jo Knows</t>
        </is>
      </c>
      <c r="L20" s="41" t="n"/>
      <c r="M20" s="41" t="n"/>
      <c r="N20" s="41" t="n"/>
      <c r="O20" s="41" t="n"/>
      <c r="P20" s="41" t="n"/>
      <c r="Q20" s="41" t="n"/>
      <c r="R20" s="41" t="n"/>
      <c r="S20" s="41" t="n"/>
    </row>
    <row r="21">
      <c r="A21" s="49" t="n"/>
      <c r="B21" s="50" t="inlineStr">
        <is>
          <t>Ref</t>
        </is>
      </c>
      <c r="C21" s="51" t="n"/>
      <c r="D21" s="52" t="n"/>
      <c r="E21" s="39" t="n"/>
      <c r="F21" s="34" t="n"/>
      <c r="G21" s="41" t="n"/>
      <c r="H21" s="41" t="n"/>
      <c r="I21" s="41" t="n"/>
      <c r="J21" s="41" t="inlineStr">
        <is>
          <t>Refs: Lov(ie) Island</t>
        </is>
      </c>
      <c r="L21" s="41" t="n"/>
      <c r="M21" s="41" t="n"/>
      <c r="N21" s="41" t="n"/>
      <c r="O21" s="41" t="n"/>
      <c r="P21" s="41" t="n"/>
      <c r="Q21" s="41" t="n"/>
      <c r="R21" s="41" t="n"/>
      <c r="S21" s="41" t="n"/>
    </row>
    <row r="22">
      <c r="A22" s="48" t="inlineStr">
        <is>
          <t>Game 11</t>
        </is>
      </c>
      <c r="B22" s="33" t="inlineStr">
        <is>
          <t>Artemis</t>
        </is>
      </c>
      <c r="C22" s="33" t="n"/>
      <c r="D22" s="33" t="inlineStr">
        <is>
          <t>Dionysus</t>
        </is>
      </c>
      <c r="E22" s="33" t="n"/>
      <c r="F22" s="34" t="n"/>
      <c r="G22" s="41" t="n"/>
      <c r="H22" s="41">
        <f>CONCAT(B22,D22)</f>
        <v/>
      </c>
      <c r="I22" s="41">
        <f>CONCAT(#REF!,#REF!)</f>
        <v/>
      </c>
      <c r="J22" s="41" t="inlineStr">
        <is>
          <t>Refs: Barbies and Kenzies</t>
        </is>
      </c>
      <c r="L22" s="41" t="n"/>
      <c r="M22" s="41" t="n"/>
      <c r="N22" s="41" t="n"/>
      <c r="O22" s="41" t="n"/>
      <c r="P22" s="41" t="n"/>
      <c r="Q22" s="41" t="n"/>
      <c r="R22" s="41" t="n"/>
      <c r="S22" s="41" t="n"/>
    </row>
    <row r="23">
      <c r="A23" s="49" t="n"/>
      <c r="B23" s="50" t="inlineStr">
        <is>
          <t>Ref</t>
        </is>
      </c>
      <c r="C23" s="51" t="n"/>
      <c r="D23" s="52" t="n"/>
      <c r="E23" s="39" t="n"/>
      <c r="F23" s="34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</row>
    <row r="24">
      <c r="A24" s="48" t="inlineStr">
        <is>
          <t>Game 12</t>
        </is>
      </c>
      <c r="B24" s="33" t="inlineStr">
        <is>
          <t xml:space="preserve">Athena </t>
        </is>
      </c>
      <c r="C24" s="33" t="n"/>
      <c r="D24" s="33" t="inlineStr">
        <is>
          <t>Persephone</t>
        </is>
      </c>
      <c r="E24" s="33" t="n"/>
      <c r="F24" s="34" t="n"/>
      <c r="G24" s="41" t="n"/>
      <c r="H24" s="41">
        <f>CONCAT(B24,D24)</f>
        <v/>
      </c>
      <c r="I24" s="41">
        <f>CONCAT(#REF!,#REF!)</f>
        <v/>
      </c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</row>
    <row r="25">
      <c r="A25" s="49" t="n"/>
      <c r="B25" s="50" t="inlineStr">
        <is>
          <t>Ref</t>
        </is>
      </c>
      <c r="C25" s="51" t="n"/>
      <c r="D25" s="52" t="n"/>
      <c r="E25" s="39" t="n"/>
      <c r="F25" s="34" t="n"/>
      <c r="G25" s="41" t="n"/>
      <c r="H25" s="41" t="n"/>
      <c r="I25" s="41" t="n"/>
      <c r="J25" s="41" t="n"/>
      <c r="K25" s="6" t="n"/>
      <c r="S25" s="41" t="n"/>
    </row>
    <row r="26">
      <c r="A26" s="43" t="n"/>
      <c r="B26" s="43" t="n"/>
      <c r="C26" s="43" t="n"/>
      <c r="D26" s="43" t="n"/>
      <c r="E26" s="43" t="n"/>
      <c r="F26" s="34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</row>
    <row r="27">
      <c r="A27" s="43" t="n"/>
      <c r="B27" s="43" t="n"/>
      <c r="C27" s="43" t="n"/>
      <c r="D27" s="43" t="n"/>
      <c r="E27" s="43" t="n"/>
      <c r="F27" s="34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</row>
    <row r="28"/>
    <row r="29"/>
    <row r="30">
      <c r="A30" s="0" t="inlineStr">
        <is>
          <t>Team Wins/Losses This Week</t>
        </is>
      </c>
    </row>
    <row r="31">
      <c r="A31" s="0" t="inlineStr">
        <is>
          <t>Team Name</t>
        </is>
      </c>
      <c r="B31" s="0" t="inlineStr">
        <is>
          <t>Wins</t>
        </is>
      </c>
      <c r="C31" s="0" t="inlineStr">
        <is>
          <t>Losses</t>
        </is>
      </c>
    </row>
    <row r="32">
      <c r="A32" s="0" t="inlineStr">
        <is>
          <t>Artemis</t>
        </is>
      </c>
      <c r="B32" s="0">
        <f>SUMIFS(C:C,B:B,"Artemis")+SUMIFS(E:E,D:D,"Artemis")</f>
        <v/>
      </c>
      <c r="C32" s="0">
        <f>SUMIFS(E:E,B:B,"Artemis")+SUMIFS(C:C,D:D,"Artemis")</f>
        <v/>
      </c>
    </row>
    <row r="33">
      <c r="A33" s="0" t="inlineStr">
        <is>
          <t>Athena</t>
        </is>
      </c>
      <c r="B33" s="0">
        <f>SUMIFS(C:C,B:B,"Athena")+SUMIFS(E:E,D:D,"Athena")</f>
        <v/>
      </c>
      <c r="C33" s="0">
        <f>SUMIFS(E:E,B:B,"Athena")+SUMIFS(C:C,D:D,"Athena")</f>
        <v/>
      </c>
    </row>
    <row r="34">
      <c r="A34" s="0" t="inlineStr">
        <is>
          <t>Dionysus</t>
        </is>
      </c>
      <c r="B34" s="0">
        <f>SUMIFS(C:C,B:B,"Dionysus")+SUMIFS(E:E,D:D,"Dionysus")</f>
        <v/>
      </c>
      <c r="C34" s="0">
        <f>SUMIFS(E:E,B:B,"Dionysus")+SUMIFS(C:C,D:D,"Dionysus")</f>
        <v/>
      </c>
    </row>
    <row r="35">
      <c r="A35" s="0" t="inlineStr">
        <is>
          <t>Persephone</t>
        </is>
      </c>
      <c r="B35" s="0">
        <f>SUMIFS(C:C,B:B,"Persephone")+SUMIFS(E:E,D:D,"Persephone")</f>
        <v/>
      </c>
      <c r="C35" s="0">
        <f>SUMIFS(E:E,B:B,"Persephone")+SUMIFS(C:C,D:D,"Persephone")</f>
        <v/>
      </c>
    </row>
  </sheetData>
  <mergeCells count="25">
    <mergeCell ref="B11:D11"/>
    <mergeCell ref="A24:A25"/>
    <mergeCell ref="B23:D23"/>
    <mergeCell ref="B1:D1"/>
    <mergeCell ref="B17:D17"/>
    <mergeCell ref="B13:D13"/>
    <mergeCell ref="A16:A17"/>
    <mergeCell ref="A6:A7"/>
    <mergeCell ref="B19:D19"/>
    <mergeCell ref="A12:A13"/>
    <mergeCell ref="B9:D9"/>
    <mergeCell ref="A2:A3"/>
    <mergeCell ref="B15:D15"/>
    <mergeCell ref="A18:A19"/>
    <mergeCell ref="A14:A15"/>
    <mergeCell ref="B5:D5"/>
    <mergeCell ref="A8:A9"/>
    <mergeCell ref="A22:A23"/>
    <mergeCell ref="A4:A5"/>
    <mergeCell ref="A20:A21"/>
    <mergeCell ref="A10:A11"/>
    <mergeCell ref="B7:D7"/>
    <mergeCell ref="B25:D25"/>
    <mergeCell ref="B3:D3"/>
    <mergeCell ref="B21:D21"/>
  </mergeCells>
  <conditionalFormatting sqref="R13">
    <cfRule type="cellIs" priority="1" operator="equal" dxfId="1">
      <formula>0</formula>
    </cfRule>
  </conditionalFormatting>
  <conditionalFormatting sqref="L3:R9">
    <cfRule type="cellIs" priority="2" operator="equal" dxfId="1">
      <formula>0</formula>
    </cfRule>
  </conditionalFormatting>
  <printOptions horizontalCentered="1" gridLines="1"/>
  <pageMargins left="0.7" right="0.7" top="0.75" bottom="0.75" header="0" footer="0"/>
  <pageSetup orientation="portrait" fitToHeight="0" pageOrder="overThenDown" cellComments="atEnd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S35"/>
  <sheetViews>
    <sheetView workbookViewId="0">
      <selection activeCell="A1" sqref="A1"/>
    </sheetView>
  </sheetViews>
  <sheetFormatPr baseColWidth="8" defaultColWidth="12.63" defaultRowHeight="15.75" customHeight="1"/>
  <cols>
    <col width="4.5" customWidth="1" style="44" min="3" max="3"/>
    <col width="4.63" customWidth="1" style="44" min="5" max="5"/>
    <col width="4" customWidth="1" style="44" min="7" max="7"/>
    <col hidden="1" width="19.13" customWidth="1" style="44" min="8" max="8"/>
    <col hidden="1" width="22.38" customWidth="1" style="44" min="9" max="9"/>
    <col hidden="1" width="6" customWidth="1" style="44" min="10" max="10"/>
    <col width="19.88" customWidth="1" style="44" min="11" max="11"/>
    <col width="19.38" customWidth="1" style="44" min="13" max="13"/>
    <col width="16.25" customWidth="1" style="44" min="18" max="18"/>
  </cols>
  <sheetData>
    <row r="1">
      <c r="A1" s="43" t="n"/>
      <c r="B1" s="45" t="inlineStr">
        <is>
          <t>Court 1</t>
        </is>
      </c>
      <c r="C1" s="46" t="n"/>
      <c r="D1" s="47" t="n"/>
      <c r="E1" s="41" t="n"/>
      <c r="F1" s="34" t="n"/>
      <c r="G1" s="41" t="n"/>
      <c r="H1" s="41" t="n"/>
      <c r="I1" s="41" t="n"/>
      <c r="J1" s="41" t="n"/>
      <c r="K1" s="6" t="n"/>
      <c r="S1" s="41" t="n"/>
    </row>
    <row r="2">
      <c r="A2" s="48" t="inlineStr">
        <is>
          <t>Game 01</t>
        </is>
      </c>
      <c r="B2" s="40" t="inlineStr">
        <is>
          <t xml:space="preserve">Athena </t>
        </is>
      </c>
      <c r="C2" s="33" t="n"/>
      <c r="D2" s="33" t="inlineStr">
        <is>
          <t>Persephone</t>
        </is>
      </c>
      <c r="E2" s="33" t="n"/>
      <c r="F2" s="34" t="n"/>
      <c r="G2" s="41" t="n"/>
      <c r="H2" s="41">
        <f>CONCAT(B2,D2)</f>
        <v/>
      </c>
      <c r="I2" s="41">
        <f>CONCAT(#REF!,#REF!)</f>
        <v/>
      </c>
      <c r="J2" s="41" t="n"/>
      <c r="S2" s="41" t="n"/>
    </row>
    <row r="3">
      <c r="A3" s="49" t="n"/>
      <c r="B3" s="50" t="inlineStr">
        <is>
          <t>Ref</t>
        </is>
      </c>
      <c r="C3" s="51" t="n"/>
      <c r="D3" s="52" t="n"/>
      <c r="E3" s="39" t="n"/>
      <c r="F3" s="34" t="n"/>
      <c r="G3" s="41" t="n"/>
      <c r="H3" s="41" t="n"/>
      <c r="I3" s="41" t="n"/>
      <c r="J3" s="41" t="n"/>
      <c r="S3" s="41" t="n"/>
    </row>
    <row r="4">
      <c r="A4" s="48" t="inlineStr">
        <is>
          <t>Game 02</t>
        </is>
      </c>
      <c r="B4" s="33" t="inlineStr">
        <is>
          <t>Artemis</t>
        </is>
      </c>
      <c r="C4" s="33" t="n"/>
      <c r="D4" s="33" t="inlineStr">
        <is>
          <t>Dionysus</t>
        </is>
      </c>
      <c r="E4" s="33" t="n"/>
      <c r="F4" s="34" t="n"/>
      <c r="G4" s="41" t="n"/>
      <c r="H4" s="41">
        <f>CONCAT(B4,D4)</f>
        <v/>
      </c>
      <c r="I4" s="41">
        <f>CONCAT(#REF!,#REF!)</f>
        <v/>
      </c>
      <c r="J4" s="41" t="n"/>
      <c r="K4" s="8" t="n"/>
      <c r="S4" s="41" t="n"/>
    </row>
    <row r="5">
      <c r="A5" s="49" t="n"/>
      <c r="B5" s="50" t="inlineStr">
        <is>
          <t>Ref</t>
        </is>
      </c>
      <c r="C5" s="51" t="n"/>
      <c r="D5" s="52" t="n"/>
      <c r="E5" s="39" t="n"/>
      <c r="F5" s="34" t="n"/>
      <c r="G5" s="41" t="n"/>
      <c r="H5" s="41" t="n"/>
      <c r="I5" s="41" t="n"/>
      <c r="J5" s="41" t="n"/>
      <c r="S5" s="41" t="n"/>
    </row>
    <row r="6">
      <c r="A6" s="48" t="inlineStr">
        <is>
          <t>Game 03</t>
        </is>
      </c>
      <c r="B6" s="33" t="inlineStr">
        <is>
          <t xml:space="preserve">Athena </t>
        </is>
      </c>
      <c r="C6" s="33" t="n"/>
      <c r="D6" s="40" t="inlineStr">
        <is>
          <t>Artemis</t>
        </is>
      </c>
      <c r="E6" s="33" t="n"/>
      <c r="F6" s="34" t="n"/>
      <c r="G6" s="41" t="n"/>
      <c r="H6" s="41">
        <f>CONCAT(B6,D6)</f>
        <v/>
      </c>
      <c r="I6" s="41">
        <f>CONCAT(#REF!,#REF!)</f>
        <v/>
      </c>
      <c r="J6" s="41" t="n"/>
      <c r="S6" s="41" t="n"/>
    </row>
    <row r="7">
      <c r="A7" s="49" t="n"/>
      <c r="B7" s="50" t="inlineStr">
        <is>
          <t>Ref</t>
        </is>
      </c>
      <c r="C7" s="51" t="n"/>
      <c r="D7" s="52" t="n"/>
      <c r="E7" s="39" t="n"/>
      <c r="F7" s="34" t="n"/>
      <c r="G7" s="41" t="n"/>
      <c r="H7" s="41" t="n"/>
      <c r="I7" s="41" t="n"/>
      <c r="J7" s="41" t="n"/>
      <c r="S7" s="41" t="n"/>
    </row>
    <row r="8">
      <c r="A8" s="48" t="inlineStr">
        <is>
          <t>Game 04</t>
        </is>
      </c>
      <c r="B8" s="33" t="inlineStr">
        <is>
          <t>Persephone</t>
        </is>
      </c>
      <c r="C8" s="33" t="n"/>
      <c r="D8" s="33" t="inlineStr">
        <is>
          <t>Dionysus</t>
        </is>
      </c>
      <c r="E8" s="33" t="n"/>
      <c r="F8" s="34" t="n"/>
      <c r="G8" s="41" t="n"/>
      <c r="H8" s="41">
        <f>CONCAT(B8,D8)</f>
        <v/>
      </c>
      <c r="I8" s="41">
        <f>CONCAT(#REF!,#REF!)</f>
        <v/>
      </c>
      <c r="J8" s="41" t="n"/>
      <c r="S8" s="41" t="n"/>
    </row>
    <row r="9">
      <c r="A9" s="49" t="n"/>
      <c r="B9" s="50" t="inlineStr">
        <is>
          <t>Ref</t>
        </is>
      </c>
      <c r="C9" s="51" t="n"/>
      <c r="D9" s="52" t="n"/>
      <c r="E9" s="39" t="n"/>
      <c r="F9" s="34" t="n"/>
      <c r="G9" s="41" t="n"/>
      <c r="H9" s="41" t="n"/>
      <c r="I9" s="41" t="n"/>
      <c r="J9" s="41" t="n"/>
      <c r="S9" s="41" t="n"/>
    </row>
    <row r="10">
      <c r="A10" s="48" t="inlineStr">
        <is>
          <t>Game 05</t>
        </is>
      </c>
      <c r="B10" s="33" t="inlineStr">
        <is>
          <t xml:space="preserve">Athena </t>
        </is>
      </c>
      <c r="C10" s="33" t="n"/>
      <c r="D10" s="33" t="inlineStr">
        <is>
          <t>Dionysus</t>
        </is>
      </c>
      <c r="E10" s="33" t="n"/>
      <c r="F10" s="34" t="n"/>
      <c r="G10" s="41" t="n"/>
      <c r="H10" s="41">
        <f>CONCAT(B10,D10)</f>
        <v/>
      </c>
      <c r="I10" s="41">
        <f>CONCAT(#REF!,#REF!)</f>
        <v/>
      </c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</row>
    <row r="11">
      <c r="A11" s="49" t="n"/>
      <c r="B11" s="50" t="inlineStr">
        <is>
          <t>Ref</t>
        </is>
      </c>
      <c r="C11" s="51" t="n"/>
      <c r="D11" s="52" t="n"/>
      <c r="E11" s="39" t="n"/>
      <c r="F11" s="34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</row>
    <row r="12">
      <c r="A12" s="48" t="inlineStr">
        <is>
          <t>Game 06</t>
        </is>
      </c>
      <c r="B12" s="33" t="inlineStr">
        <is>
          <t>Persephone</t>
        </is>
      </c>
      <c r="C12" s="33" t="n"/>
      <c r="D12" s="33" t="inlineStr">
        <is>
          <t>Artemis</t>
        </is>
      </c>
      <c r="E12" s="33" t="n"/>
      <c r="F12" s="34" t="n"/>
      <c r="G12" s="41" t="n"/>
      <c r="H12" s="41">
        <f>CONCAT(B12,D12)</f>
        <v/>
      </c>
      <c r="I12" s="41">
        <f>CONCAT(#REF!,#REF!)</f>
        <v/>
      </c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</row>
    <row r="13">
      <c r="A13" s="49" t="n"/>
      <c r="B13" s="50" t="inlineStr">
        <is>
          <t>Ref</t>
        </is>
      </c>
      <c r="C13" s="51" t="n"/>
      <c r="D13" s="52" t="n"/>
      <c r="E13" s="39" t="n"/>
      <c r="F13" s="34" t="n"/>
      <c r="G13" s="41" t="n"/>
      <c r="H13" s="41" t="n"/>
      <c r="I13" s="41" t="n"/>
      <c r="J13" s="41" t="n"/>
      <c r="K13" s="21" t="n"/>
      <c r="L13" s="41" t="n"/>
      <c r="M13" s="41" t="n"/>
      <c r="N13" s="41" t="n"/>
      <c r="O13" s="41" t="n"/>
      <c r="P13" s="41" t="n"/>
      <c r="Q13" s="41" t="n"/>
      <c r="R13" s="41" t="n"/>
      <c r="S13" s="41" t="n"/>
    </row>
    <row r="14">
      <c r="A14" s="48" t="inlineStr">
        <is>
          <t>Game 07</t>
        </is>
      </c>
      <c r="B14" s="33" t="inlineStr">
        <is>
          <t xml:space="preserve">Athena </t>
        </is>
      </c>
      <c r="C14" s="33" t="n"/>
      <c r="D14" s="40" t="inlineStr">
        <is>
          <t>Persephone</t>
        </is>
      </c>
      <c r="E14" s="33" t="n"/>
      <c r="F14" s="34" t="n"/>
      <c r="G14" s="41" t="n"/>
      <c r="H14" s="41">
        <f>CONCAT(B14,D14)</f>
        <v/>
      </c>
      <c r="I14" s="41">
        <f>CONCAT(#REF!,#REF!)</f>
        <v/>
      </c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</row>
    <row r="15">
      <c r="A15" s="49" t="n"/>
      <c r="B15" s="50" t="inlineStr">
        <is>
          <t>Ref</t>
        </is>
      </c>
      <c r="C15" s="51" t="n"/>
      <c r="D15" s="52" t="n"/>
      <c r="E15" s="39" t="n"/>
      <c r="F15" s="34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</row>
    <row r="16">
      <c r="A16" s="48" t="inlineStr">
        <is>
          <t>Game 08</t>
        </is>
      </c>
      <c r="B16" s="33" t="inlineStr">
        <is>
          <t>Artemis</t>
        </is>
      </c>
      <c r="C16" s="33" t="n"/>
      <c r="D16" s="33" t="inlineStr">
        <is>
          <t>Dionysus</t>
        </is>
      </c>
      <c r="E16" s="33" t="n"/>
      <c r="F16" s="34" t="n"/>
      <c r="G16" s="41" t="n"/>
      <c r="H16" s="41">
        <f>CONCAT(B16,D16)</f>
        <v/>
      </c>
      <c r="I16" s="41">
        <f>CONCAT(#REF!,#REF!)</f>
        <v/>
      </c>
      <c r="J16" s="41" t="inlineStr">
        <is>
          <t>Refs: Breezy F. Baby</t>
        </is>
      </c>
      <c r="L16" s="41" t="n"/>
      <c r="M16" s="41" t="n"/>
      <c r="N16" s="41" t="n"/>
      <c r="O16" s="41" t="n"/>
      <c r="P16" s="41" t="n"/>
      <c r="Q16" s="41" t="n"/>
      <c r="R16" s="41" t="n"/>
      <c r="S16" s="41" t="n"/>
    </row>
    <row r="17">
      <c r="A17" s="49" t="n"/>
      <c r="B17" s="50" t="inlineStr">
        <is>
          <t>Ref</t>
        </is>
      </c>
      <c r="C17" s="51" t="n"/>
      <c r="D17" s="52" t="n"/>
      <c r="E17" s="39" t="n"/>
      <c r="F17" s="34" t="n"/>
      <c r="G17" s="41" t="n"/>
      <c r="H17" s="41" t="n"/>
      <c r="I17" s="41" t="n"/>
      <c r="J17" s="41" t="inlineStr">
        <is>
          <t>Refs: Five Finger Steph Punch</t>
        </is>
      </c>
      <c r="K17" s="8" t="n"/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A18" s="48" t="inlineStr">
        <is>
          <t>Game 09</t>
        </is>
      </c>
      <c r="B18" s="40" t="inlineStr">
        <is>
          <t xml:space="preserve">Athena </t>
        </is>
      </c>
      <c r="C18" s="33" t="n"/>
      <c r="D18" s="33" t="inlineStr">
        <is>
          <t>Artemis</t>
        </is>
      </c>
      <c r="E18" s="33" t="n"/>
      <c r="F18" s="34" t="n"/>
      <c r="G18" s="41" t="n"/>
      <c r="H18" s="41">
        <f>CONCAT(B18,D18)</f>
        <v/>
      </c>
      <c r="I18" s="41">
        <f>CONCAT(#REF!,#REF!)</f>
        <v/>
      </c>
      <c r="J18" s="41" t="inlineStr">
        <is>
          <t>Refs: Clairvoyance</t>
        </is>
      </c>
      <c r="L18" s="41" t="n"/>
      <c r="M18" s="41" t="n"/>
      <c r="N18" s="41" t="n"/>
      <c r="O18" s="41" t="n"/>
      <c r="P18" s="41" t="n"/>
      <c r="Q18" s="41" t="n"/>
      <c r="R18" s="41" t="n"/>
      <c r="S18" s="41" t="n"/>
    </row>
    <row r="19">
      <c r="A19" s="49" t="n"/>
      <c r="B19" s="50" t="inlineStr">
        <is>
          <t>Ref</t>
        </is>
      </c>
      <c r="C19" s="51" t="n"/>
      <c r="D19" s="52" t="n"/>
      <c r="E19" s="39" t="n"/>
      <c r="F19" s="34" t="n"/>
      <c r="G19" s="41" t="n"/>
      <c r="H19" s="41" t="n"/>
      <c r="I19" s="41" t="n"/>
      <c r="J19" s="41" t="inlineStr">
        <is>
          <t>Refs: Julia's Ghoulias</t>
        </is>
      </c>
      <c r="L19" s="41" t="n"/>
      <c r="M19" s="41" t="n"/>
      <c r="N19" s="41" t="n"/>
      <c r="O19" s="41" t="n"/>
      <c r="P19" s="41" t="n"/>
      <c r="Q19" s="41" t="n"/>
      <c r="R19" s="41" t="n"/>
      <c r="S19" s="41" t="n"/>
    </row>
    <row r="20">
      <c r="A20" s="48" t="inlineStr">
        <is>
          <t>Game 10</t>
        </is>
      </c>
      <c r="B20" s="33" t="inlineStr">
        <is>
          <t>Persephone</t>
        </is>
      </c>
      <c r="C20" s="33" t="n"/>
      <c r="D20" s="33" t="inlineStr">
        <is>
          <t>Dionysus</t>
        </is>
      </c>
      <c r="E20" s="33" t="n"/>
      <c r="F20" s="34" t="n"/>
      <c r="G20" s="41" t="n"/>
      <c r="H20" s="41">
        <f>CONCAT(B20,D20)</f>
        <v/>
      </c>
      <c r="I20" s="41">
        <f>CONCAT(#REF!,#REF!)</f>
        <v/>
      </c>
      <c r="J20" s="41" t="inlineStr">
        <is>
          <t>Refs: Jo Knows</t>
        </is>
      </c>
      <c r="L20" s="41" t="n"/>
      <c r="M20" s="41" t="n"/>
      <c r="N20" s="41" t="n"/>
      <c r="O20" s="41" t="n"/>
      <c r="P20" s="41" t="n"/>
      <c r="Q20" s="41" t="n"/>
      <c r="R20" s="41" t="n"/>
      <c r="S20" s="41" t="n"/>
    </row>
    <row r="21">
      <c r="A21" s="49" t="n"/>
      <c r="B21" s="50" t="inlineStr">
        <is>
          <t>Ref</t>
        </is>
      </c>
      <c r="C21" s="51" t="n"/>
      <c r="D21" s="52" t="n"/>
      <c r="E21" s="39" t="n"/>
      <c r="F21" s="34" t="n"/>
      <c r="G21" s="41" t="n"/>
      <c r="H21" s="41" t="n"/>
      <c r="I21" s="41" t="n"/>
      <c r="J21" s="41" t="inlineStr">
        <is>
          <t>Refs: Lov(ie) Island</t>
        </is>
      </c>
      <c r="L21" s="41" t="n"/>
      <c r="M21" s="41" t="n"/>
      <c r="N21" s="41" t="n"/>
      <c r="O21" s="41" t="n"/>
      <c r="P21" s="41" t="n"/>
      <c r="Q21" s="41" t="n"/>
      <c r="R21" s="41" t="n"/>
      <c r="S21" s="41" t="n"/>
    </row>
    <row r="22">
      <c r="A22" s="48" t="inlineStr">
        <is>
          <t>Game 11</t>
        </is>
      </c>
      <c r="B22" s="33" t="inlineStr">
        <is>
          <t xml:space="preserve">Athena </t>
        </is>
      </c>
      <c r="C22" s="33" t="n"/>
      <c r="D22" s="33" t="inlineStr">
        <is>
          <t>Dionysus</t>
        </is>
      </c>
      <c r="E22" s="33" t="n"/>
      <c r="F22" s="34" t="n"/>
      <c r="G22" s="41" t="n"/>
      <c r="H22" s="41">
        <f>CONCAT(B22,D22)</f>
        <v/>
      </c>
      <c r="I22" s="41">
        <f>CONCAT(#REF!,#REF!)</f>
        <v/>
      </c>
      <c r="J22" s="41" t="inlineStr">
        <is>
          <t>Refs: Barbies and Kenzies</t>
        </is>
      </c>
      <c r="L22" s="41" t="n"/>
      <c r="M22" s="41" t="n"/>
      <c r="N22" s="41" t="n"/>
      <c r="O22" s="41" t="n"/>
      <c r="P22" s="41" t="n"/>
      <c r="Q22" s="41" t="n"/>
      <c r="R22" s="41" t="n"/>
      <c r="S22" s="41" t="n"/>
    </row>
    <row r="23">
      <c r="A23" s="49" t="n"/>
      <c r="B23" s="50" t="inlineStr">
        <is>
          <t>Ref</t>
        </is>
      </c>
      <c r="C23" s="51" t="n"/>
      <c r="D23" s="52" t="n"/>
      <c r="E23" s="39" t="n"/>
      <c r="F23" s="34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</row>
    <row r="24">
      <c r="A24" s="48" t="inlineStr">
        <is>
          <t>Game 12</t>
        </is>
      </c>
      <c r="B24" s="33" t="inlineStr">
        <is>
          <t>Persephone</t>
        </is>
      </c>
      <c r="C24" s="33" t="n"/>
      <c r="D24" s="33" t="inlineStr">
        <is>
          <t>Artemis</t>
        </is>
      </c>
      <c r="E24" s="33" t="n"/>
      <c r="F24" s="34" t="n"/>
      <c r="G24" s="41" t="n"/>
      <c r="H24" s="41">
        <f>CONCAT(B24,D24)</f>
        <v/>
      </c>
      <c r="I24" s="41">
        <f>CONCAT(#REF!,#REF!)</f>
        <v/>
      </c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</row>
    <row r="25">
      <c r="A25" s="49" t="n"/>
      <c r="B25" s="50" t="inlineStr">
        <is>
          <t>Ref</t>
        </is>
      </c>
      <c r="C25" s="51" t="n"/>
      <c r="D25" s="52" t="n"/>
      <c r="E25" s="39" t="n"/>
      <c r="F25" s="34" t="n"/>
      <c r="G25" s="41" t="n"/>
      <c r="H25" s="41" t="n"/>
      <c r="I25" s="41" t="n"/>
      <c r="J25" s="41" t="n"/>
      <c r="K25" s="6" t="n"/>
      <c r="S25" s="41" t="n"/>
    </row>
    <row r="26">
      <c r="A26" s="43" t="n"/>
      <c r="B26" s="43" t="n"/>
      <c r="C26" s="43" t="n"/>
      <c r="D26" s="43" t="n"/>
      <c r="E26" s="43" t="n"/>
      <c r="F26" s="34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</row>
    <row r="27">
      <c r="A27" s="43" t="n"/>
      <c r="B27" s="43" t="n"/>
      <c r="C27" s="43" t="n"/>
      <c r="D27" s="43" t="n"/>
      <c r="E27" s="43" t="n"/>
      <c r="F27" s="34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</row>
    <row r="28"/>
    <row r="29"/>
    <row r="30">
      <c r="A30" s="0" t="inlineStr">
        <is>
          <t>Team Wins/Losses This Week</t>
        </is>
      </c>
    </row>
    <row r="31">
      <c r="A31" s="0" t="inlineStr">
        <is>
          <t>Team Name</t>
        </is>
      </c>
      <c r="B31" s="0" t="inlineStr">
        <is>
          <t>Wins</t>
        </is>
      </c>
      <c r="C31" s="0" t="inlineStr">
        <is>
          <t>Losses</t>
        </is>
      </c>
    </row>
    <row r="32">
      <c r="A32" s="0" t="inlineStr">
        <is>
          <t>Artemis</t>
        </is>
      </c>
      <c r="B32" s="0">
        <f>SUMIFS(C:C,B:B,"Artemis")+SUMIFS(E:E,D:D,"Artemis")</f>
        <v/>
      </c>
      <c r="C32" s="0">
        <f>SUMIFS(E:E,B:B,"Artemis")+SUMIFS(C:C,D:D,"Artemis")</f>
        <v/>
      </c>
    </row>
    <row r="33">
      <c r="A33" s="0" t="inlineStr">
        <is>
          <t>Athena</t>
        </is>
      </c>
      <c r="B33" s="0">
        <f>SUMIFS(C:C,B:B,"Athena")+SUMIFS(E:E,D:D,"Athena")</f>
        <v/>
      </c>
      <c r="C33" s="0">
        <f>SUMIFS(E:E,B:B,"Athena")+SUMIFS(C:C,D:D,"Athena")</f>
        <v/>
      </c>
    </row>
    <row r="34">
      <c r="A34" s="0" t="inlineStr">
        <is>
          <t>Dionysus</t>
        </is>
      </c>
      <c r="B34" s="0">
        <f>SUMIFS(C:C,B:B,"Dionysus")+SUMIFS(E:E,D:D,"Dionysus")</f>
        <v/>
      </c>
      <c r="C34" s="0">
        <f>SUMIFS(E:E,B:B,"Dionysus")+SUMIFS(C:C,D:D,"Dionysus")</f>
        <v/>
      </c>
    </row>
    <row r="35">
      <c r="A35" s="0" t="inlineStr">
        <is>
          <t>Persephone</t>
        </is>
      </c>
      <c r="B35" s="0">
        <f>SUMIFS(C:C,B:B,"Persephone")+SUMIFS(E:E,D:D,"Persephone")</f>
        <v/>
      </c>
      <c r="C35" s="0">
        <f>SUMIFS(E:E,B:B,"Persephone")+SUMIFS(C:C,D:D,"Persephone")</f>
        <v/>
      </c>
    </row>
  </sheetData>
  <mergeCells count="25">
    <mergeCell ref="B11:D11"/>
    <mergeCell ref="A24:A25"/>
    <mergeCell ref="B23:D23"/>
    <mergeCell ref="B1:D1"/>
    <mergeCell ref="B17:D17"/>
    <mergeCell ref="B13:D13"/>
    <mergeCell ref="A16:A17"/>
    <mergeCell ref="A6:A7"/>
    <mergeCell ref="B19:D19"/>
    <mergeCell ref="A12:A13"/>
    <mergeCell ref="B9:D9"/>
    <mergeCell ref="A2:A3"/>
    <mergeCell ref="B15:D15"/>
    <mergeCell ref="A18:A19"/>
    <mergeCell ref="A14:A15"/>
    <mergeCell ref="B5:D5"/>
    <mergeCell ref="A8:A9"/>
    <mergeCell ref="A22:A23"/>
    <mergeCell ref="A4:A5"/>
    <mergeCell ref="A20:A21"/>
    <mergeCell ref="A10:A11"/>
    <mergeCell ref="B7:D7"/>
    <mergeCell ref="B25:D25"/>
    <mergeCell ref="B3:D3"/>
    <mergeCell ref="B21:D21"/>
  </mergeCells>
  <conditionalFormatting sqref="R13">
    <cfRule type="cellIs" priority="1" operator="equal" dxfId="1">
      <formula>0</formula>
    </cfRule>
  </conditionalFormatting>
  <conditionalFormatting sqref="L3:R9">
    <cfRule type="cellIs" priority="2" operator="equal" dxfId="1">
      <formula>0</formula>
    </cfRule>
  </conditionalFormatting>
  <printOptions horizontalCentered="1" gridLines="1"/>
  <pageMargins left="0.7" right="0.7" top="0.75" bottom="0.75" header="0" footer="0"/>
  <pageSetup orientation="portrait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 fitToPage="1"/>
  </sheetPr>
  <dimension ref="A1:S35"/>
  <sheetViews>
    <sheetView workbookViewId="0">
      <selection activeCell="A1" sqref="A1"/>
    </sheetView>
  </sheetViews>
  <sheetFormatPr baseColWidth="8" defaultColWidth="12.63" defaultRowHeight="15.75" customHeight="1"/>
  <cols>
    <col width="4.5" customWidth="1" style="44" min="3" max="3"/>
    <col width="4.63" customWidth="1" style="44" min="5" max="5"/>
    <col width="4" customWidth="1" style="44" min="7" max="7"/>
    <col hidden="1" width="19.13" customWidth="1" style="44" min="8" max="8"/>
    <col hidden="1" width="22.38" customWidth="1" style="44" min="9" max="9"/>
    <col hidden="1" width="6" customWidth="1" style="44" min="10" max="10"/>
    <col width="19.88" customWidth="1" style="44" min="11" max="11"/>
    <col width="19.38" customWidth="1" style="44" min="13" max="13"/>
    <col width="16.25" customWidth="1" style="44" min="18" max="18"/>
  </cols>
  <sheetData>
    <row r="1">
      <c r="A1" s="43" t="n"/>
      <c r="B1" s="45" t="inlineStr">
        <is>
          <t>Court 1</t>
        </is>
      </c>
      <c r="C1" s="46" t="n"/>
      <c r="D1" s="47" t="n"/>
      <c r="E1" s="41" t="n"/>
      <c r="F1" s="34" t="n"/>
      <c r="G1" s="41" t="n"/>
      <c r="H1" s="41" t="n"/>
      <c r="I1" s="41" t="n"/>
      <c r="J1" s="41" t="n"/>
      <c r="K1" s="6" t="n"/>
      <c r="S1" s="41" t="n"/>
    </row>
    <row r="2">
      <c r="A2" s="48" t="inlineStr">
        <is>
          <t>Game 01</t>
        </is>
      </c>
      <c r="B2" s="40" t="inlineStr">
        <is>
          <t>Persephone</t>
        </is>
      </c>
      <c r="C2" s="33" t="n"/>
      <c r="D2" s="33" t="inlineStr">
        <is>
          <t>Artemis</t>
        </is>
      </c>
      <c r="E2" s="33" t="n"/>
      <c r="F2" s="34" t="n"/>
      <c r="G2" s="41" t="n"/>
      <c r="H2" s="41">
        <f>CONCAT(B2,D2)</f>
        <v/>
      </c>
      <c r="I2" s="41">
        <f>CONCAT(#REF!,#REF!)</f>
        <v/>
      </c>
      <c r="J2" s="41" t="n"/>
      <c r="S2" s="41" t="n"/>
    </row>
    <row r="3">
      <c r="A3" s="49" t="n"/>
      <c r="B3" s="50" t="inlineStr">
        <is>
          <t>Ref</t>
        </is>
      </c>
      <c r="C3" s="51" t="n"/>
      <c r="D3" s="52" t="n"/>
      <c r="E3" s="39" t="n"/>
      <c r="F3" s="34" t="n"/>
      <c r="G3" s="41" t="n"/>
      <c r="H3" s="41" t="n"/>
      <c r="I3" s="41" t="n"/>
      <c r="J3" s="41" t="n"/>
      <c r="S3" s="41" t="n"/>
    </row>
    <row r="4">
      <c r="A4" s="48" t="inlineStr">
        <is>
          <t>Game 02</t>
        </is>
      </c>
      <c r="B4" s="33" t="inlineStr">
        <is>
          <t xml:space="preserve">Athena </t>
        </is>
      </c>
      <c r="C4" s="33" t="n"/>
      <c r="D4" s="33" t="inlineStr">
        <is>
          <t>Dionysus</t>
        </is>
      </c>
      <c r="E4" s="33" t="n"/>
      <c r="F4" s="34" t="n"/>
      <c r="G4" s="41" t="n"/>
      <c r="H4" s="41">
        <f>CONCAT(B4,D4)</f>
        <v/>
      </c>
      <c r="I4" s="41">
        <f>CONCAT(#REF!,#REF!)</f>
        <v/>
      </c>
      <c r="J4" s="41" t="n"/>
      <c r="K4" s="8" t="n"/>
      <c r="S4" s="41" t="n"/>
    </row>
    <row r="5">
      <c r="A5" s="49" t="n"/>
      <c r="B5" s="50" t="inlineStr">
        <is>
          <t>Ref</t>
        </is>
      </c>
      <c r="C5" s="51" t="n"/>
      <c r="D5" s="52" t="n"/>
      <c r="E5" s="39" t="n"/>
      <c r="F5" s="34" t="n"/>
      <c r="G5" s="41" t="n"/>
      <c r="H5" s="41" t="n"/>
      <c r="I5" s="41" t="n"/>
      <c r="J5" s="41" t="n"/>
      <c r="S5" s="41" t="n"/>
    </row>
    <row r="6">
      <c r="A6" s="48" t="inlineStr">
        <is>
          <t>Game 03</t>
        </is>
      </c>
      <c r="B6" s="33" t="inlineStr">
        <is>
          <t>Persephone</t>
        </is>
      </c>
      <c r="C6" s="33" t="n"/>
      <c r="D6" s="40" t="inlineStr">
        <is>
          <t>Dionysus</t>
        </is>
      </c>
      <c r="E6" s="33" t="n"/>
      <c r="F6" s="34" t="n"/>
      <c r="G6" s="41" t="n"/>
      <c r="H6" s="41">
        <f>CONCAT(B6,D6)</f>
        <v/>
      </c>
      <c r="I6" s="41">
        <f>CONCAT(#REF!,#REF!)</f>
        <v/>
      </c>
      <c r="J6" s="41" t="n"/>
      <c r="S6" s="41" t="n"/>
    </row>
    <row r="7">
      <c r="A7" s="49" t="n"/>
      <c r="B7" s="50" t="inlineStr">
        <is>
          <t>Ref</t>
        </is>
      </c>
      <c r="C7" s="51" t="n"/>
      <c r="D7" s="52" t="n"/>
      <c r="E7" s="39" t="n"/>
      <c r="F7" s="34" t="n"/>
      <c r="G7" s="41" t="n"/>
      <c r="H7" s="41" t="n"/>
      <c r="I7" s="41" t="n"/>
      <c r="J7" s="41" t="n"/>
      <c r="S7" s="41" t="n"/>
    </row>
    <row r="8">
      <c r="A8" s="48" t="inlineStr">
        <is>
          <t>Game 04</t>
        </is>
      </c>
      <c r="B8" s="33" t="inlineStr">
        <is>
          <t xml:space="preserve">Athena </t>
        </is>
      </c>
      <c r="C8" s="33" t="n"/>
      <c r="D8" s="33" t="inlineStr">
        <is>
          <t>Artemis</t>
        </is>
      </c>
      <c r="E8" s="33" t="n"/>
      <c r="F8" s="34" t="n"/>
      <c r="G8" s="41" t="n"/>
      <c r="H8" s="41">
        <f>CONCAT(B8,D8)</f>
        <v/>
      </c>
      <c r="I8" s="41">
        <f>CONCAT(#REF!,#REF!)</f>
        <v/>
      </c>
      <c r="J8" s="41" t="n"/>
      <c r="S8" s="41" t="n"/>
    </row>
    <row r="9">
      <c r="A9" s="49" t="n"/>
      <c r="B9" s="50" t="inlineStr">
        <is>
          <t>Ref</t>
        </is>
      </c>
      <c r="C9" s="51" t="n"/>
      <c r="D9" s="52" t="n"/>
      <c r="E9" s="39" t="n"/>
      <c r="F9" s="34" t="n"/>
      <c r="G9" s="41" t="n"/>
      <c r="H9" s="41" t="n"/>
      <c r="I9" s="41" t="n"/>
      <c r="J9" s="41" t="n"/>
      <c r="S9" s="41" t="n"/>
    </row>
    <row r="10">
      <c r="A10" s="48" t="inlineStr">
        <is>
          <t>Game 05</t>
        </is>
      </c>
      <c r="B10" s="33" t="inlineStr">
        <is>
          <t>Artemis</t>
        </is>
      </c>
      <c r="C10" s="33" t="n"/>
      <c r="D10" s="33" t="inlineStr">
        <is>
          <t>Dionysus</t>
        </is>
      </c>
      <c r="E10" s="33" t="n"/>
      <c r="F10" s="34" t="n"/>
      <c r="G10" s="41" t="n"/>
      <c r="H10" s="41">
        <f>CONCAT(B10,D10)</f>
        <v/>
      </c>
      <c r="I10" s="41">
        <f>CONCAT(#REF!,#REF!)</f>
        <v/>
      </c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</row>
    <row r="11">
      <c r="A11" s="49" t="n"/>
      <c r="B11" s="50" t="inlineStr">
        <is>
          <t>Ref</t>
        </is>
      </c>
      <c r="C11" s="51" t="n"/>
      <c r="D11" s="52" t="n"/>
      <c r="E11" s="39" t="n"/>
      <c r="F11" s="34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</row>
    <row r="12">
      <c r="A12" s="48" t="inlineStr">
        <is>
          <t>Game 06</t>
        </is>
      </c>
      <c r="B12" s="33" t="inlineStr">
        <is>
          <t xml:space="preserve">Athena </t>
        </is>
      </c>
      <c r="C12" s="33" t="n"/>
      <c r="D12" s="33" t="inlineStr">
        <is>
          <t>Persephone</t>
        </is>
      </c>
      <c r="E12" s="33" t="n"/>
      <c r="F12" s="34" t="n"/>
      <c r="G12" s="41" t="n"/>
      <c r="H12" s="41">
        <f>CONCAT(B12,D12)</f>
        <v/>
      </c>
      <c r="I12" s="41">
        <f>CONCAT(#REF!,#REF!)</f>
        <v/>
      </c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</row>
    <row r="13">
      <c r="A13" s="49" t="n"/>
      <c r="B13" s="50" t="inlineStr">
        <is>
          <t>Ref</t>
        </is>
      </c>
      <c r="C13" s="51" t="n"/>
      <c r="D13" s="52" t="n"/>
      <c r="E13" s="39" t="n"/>
      <c r="F13" s="34" t="n"/>
      <c r="G13" s="41" t="n"/>
      <c r="H13" s="41" t="n"/>
      <c r="I13" s="41" t="n"/>
      <c r="J13" s="41" t="n"/>
      <c r="K13" s="21" t="n"/>
      <c r="L13" s="41" t="n"/>
      <c r="M13" s="41" t="n"/>
      <c r="N13" s="41" t="n"/>
      <c r="O13" s="41" t="n"/>
      <c r="P13" s="41" t="n"/>
      <c r="Q13" s="41" t="n"/>
      <c r="R13" s="41" t="n"/>
      <c r="S13" s="41" t="n"/>
    </row>
    <row r="14">
      <c r="A14" s="48" t="inlineStr">
        <is>
          <t>Game 07</t>
        </is>
      </c>
      <c r="B14" s="33" t="inlineStr">
        <is>
          <t>Persephone</t>
        </is>
      </c>
      <c r="C14" s="33" t="n"/>
      <c r="D14" s="40" t="inlineStr">
        <is>
          <t>Artemis</t>
        </is>
      </c>
      <c r="E14" s="33" t="n"/>
      <c r="F14" s="34" t="n"/>
      <c r="G14" s="41" t="n"/>
      <c r="H14" s="41">
        <f>CONCAT(B14,D14)</f>
        <v/>
      </c>
      <c r="I14" s="41">
        <f>CONCAT(#REF!,#REF!)</f>
        <v/>
      </c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</row>
    <row r="15">
      <c r="A15" s="49" t="n"/>
      <c r="B15" s="50" t="inlineStr">
        <is>
          <t>Ref</t>
        </is>
      </c>
      <c r="C15" s="51" t="n"/>
      <c r="D15" s="52" t="n"/>
      <c r="E15" s="39" t="n"/>
      <c r="F15" s="34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</row>
    <row r="16">
      <c r="A16" s="48" t="inlineStr">
        <is>
          <t>Game 08</t>
        </is>
      </c>
      <c r="B16" s="33" t="inlineStr">
        <is>
          <t xml:space="preserve">Athena </t>
        </is>
      </c>
      <c r="C16" s="33" t="n"/>
      <c r="D16" s="33" t="inlineStr">
        <is>
          <t>Dionysus</t>
        </is>
      </c>
      <c r="E16" s="33" t="n"/>
      <c r="F16" s="34" t="n"/>
      <c r="G16" s="41" t="n"/>
      <c r="H16" s="41">
        <f>CONCAT(B16,D16)</f>
        <v/>
      </c>
      <c r="I16" s="41">
        <f>CONCAT(#REF!,#REF!)</f>
        <v/>
      </c>
      <c r="J16" s="41" t="inlineStr">
        <is>
          <t>Refs: Breezy F. Baby</t>
        </is>
      </c>
      <c r="L16" s="41" t="n"/>
      <c r="M16" s="41" t="n"/>
      <c r="N16" s="41" t="n"/>
      <c r="O16" s="41" t="n"/>
      <c r="P16" s="41" t="n"/>
      <c r="Q16" s="41" t="n"/>
      <c r="R16" s="41" t="n"/>
      <c r="S16" s="41" t="n"/>
    </row>
    <row r="17">
      <c r="A17" s="49" t="n"/>
      <c r="B17" s="50" t="inlineStr">
        <is>
          <t>Ref</t>
        </is>
      </c>
      <c r="C17" s="51" t="n"/>
      <c r="D17" s="52" t="n"/>
      <c r="E17" s="39" t="n"/>
      <c r="F17" s="34" t="n"/>
      <c r="G17" s="41" t="n"/>
      <c r="H17" s="41" t="n"/>
      <c r="I17" s="41" t="n"/>
      <c r="J17" s="41" t="inlineStr">
        <is>
          <t>Refs: Five Finger Steph Punch</t>
        </is>
      </c>
      <c r="K17" s="8" t="n"/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A18" s="48" t="inlineStr">
        <is>
          <t>Game 09</t>
        </is>
      </c>
      <c r="B18" s="40" t="inlineStr">
        <is>
          <t>Persephone</t>
        </is>
      </c>
      <c r="C18" s="33" t="n"/>
      <c r="D18" s="33" t="inlineStr">
        <is>
          <t>Dionysus</t>
        </is>
      </c>
      <c r="E18" s="33" t="n"/>
      <c r="F18" s="34" t="n"/>
      <c r="G18" s="41" t="n"/>
      <c r="H18" s="41">
        <f>CONCAT(B18,D18)</f>
        <v/>
      </c>
      <c r="I18" s="41">
        <f>CONCAT(#REF!,#REF!)</f>
        <v/>
      </c>
      <c r="J18" s="41" t="inlineStr">
        <is>
          <t>Refs: Clairvoyance</t>
        </is>
      </c>
      <c r="L18" s="41" t="n"/>
      <c r="M18" s="41" t="n"/>
      <c r="N18" s="41" t="n"/>
      <c r="O18" s="41" t="n"/>
      <c r="P18" s="41" t="n"/>
      <c r="Q18" s="41" t="n"/>
      <c r="R18" s="41" t="n"/>
      <c r="S18" s="41" t="n"/>
    </row>
    <row r="19">
      <c r="A19" s="49" t="n"/>
      <c r="B19" s="50" t="inlineStr">
        <is>
          <t>Ref</t>
        </is>
      </c>
      <c r="C19" s="51" t="n"/>
      <c r="D19" s="52" t="n"/>
      <c r="E19" s="39" t="n"/>
      <c r="F19" s="34" t="n"/>
      <c r="G19" s="41" t="n"/>
      <c r="H19" s="41" t="n"/>
      <c r="I19" s="41" t="n"/>
      <c r="J19" s="41" t="inlineStr">
        <is>
          <t>Refs: Julia's Ghoulias</t>
        </is>
      </c>
      <c r="L19" s="41" t="n"/>
      <c r="M19" s="41" t="n"/>
      <c r="N19" s="41" t="n"/>
      <c r="O19" s="41" t="n"/>
      <c r="P19" s="41" t="n"/>
      <c r="Q19" s="41" t="n"/>
      <c r="R19" s="41" t="n"/>
      <c r="S19" s="41" t="n"/>
    </row>
    <row r="20">
      <c r="A20" s="48" t="inlineStr">
        <is>
          <t>Game 10</t>
        </is>
      </c>
      <c r="B20" s="33" t="inlineStr">
        <is>
          <t xml:space="preserve">Athena </t>
        </is>
      </c>
      <c r="C20" s="33" t="n"/>
      <c r="D20" s="33" t="inlineStr">
        <is>
          <t>Artemis</t>
        </is>
      </c>
      <c r="E20" s="33" t="n"/>
      <c r="F20" s="34" t="n"/>
      <c r="G20" s="41" t="n"/>
      <c r="H20" s="41">
        <f>CONCAT(B20,D20)</f>
        <v/>
      </c>
      <c r="I20" s="41">
        <f>CONCAT(#REF!,#REF!)</f>
        <v/>
      </c>
      <c r="J20" s="41" t="inlineStr">
        <is>
          <t>Refs: Jo Knows</t>
        </is>
      </c>
      <c r="L20" s="41" t="n"/>
      <c r="M20" s="41" t="n"/>
      <c r="N20" s="41" t="n"/>
      <c r="O20" s="41" t="n"/>
      <c r="P20" s="41" t="n"/>
      <c r="Q20" s="41" t="n"/>
      <c r="R20" s="41" t="n"/>
      <c r="S20" s="41" t="n"/>
    </row>
    <row r="21">
      <c r="A21" s="49" t="n"/>
      <c r="B21" s="50" t="inlineStr">
        <is>
          <t>Ref</t>
        </is>
      </c>
      <c r="C21" s="51" t="n"/>
      <c r="D21" s="52" t="n"/>
      <c r="E21" s="39" t="n"/>
      <c r="F21" s="34" t="n"/>
      <c r="G21" s="41" t="n"/>
      <c r="H21" s="41" t="n"/>
      <c r="I21" s="41" t="n"/>
      <c r="J21" s="41" t="inlineStr">
        <is>
          <t>Refs: Lov(ie) Island</t>
        </is>
      </c>
      <c r="L21" s="41" t="n"/>
      <c r="M21" s="41" t="n"/>
      <c r="N21" s="41" t="n"/>
      <c r="O21" s="41" t="n"/>
      <c r="P21" s="41" t="n"/>
      <c r="Q21" s="41" t="n"/>
      <c r="R21" s="41" t="n"/>
      <c r="S21" s="41" t="n"/>
    </row>
    <row r="22">
      <c r="A22" s="48" t="inlineStr">
        <is>
          <t>Game 11</t>
        </is>
      </c>
      <c r="B22" s="33" t="inlineStr">
        <is>
          <t>Artemis</t>
        </is>
      </c>
      <c r="C22" s="33" t="n"/>
      <c r="D22" s="33" t="inlineStr">
        <is>
          <t>Dionysus</t>
        </is>
      </c>
      <c r="E22" s="33" t="n"/>
      <c r="F22" s="34" t="n"/>
      <c r="G22" s="41" t="n"/>
      <c r="H22" s="41">
        <f>CONCAT(B22,D22)</f>
        <v/>
      </c>
      <c r="I22" s="41">
        <f>CONCAT(#REF!,#REF!)</f>
        <v/>
      </c>
      <c r="J22" s="41" t="inlineStr">
        <is>
          <t>Refs: Barbies and Kenzies</t>
        </is>
      </c>
      <c r="L22" s="41" t="n"/>
      <c r="M22" s="41" t="n"/>
      <c r="N22" s="41" t="n"/>
      <c r="O22" s="41" t="n"/>
      <c r="P22" s="41" t="n"/>
      <c r="Q22" s="41" t="n"/>
      <c r="R22" s="41" t="n"/>
      <c r="S22" s="41" t="n"/>
    </row>
    <row r="23">
      <c r="A23" s="49" t="n"/>
      <c r="B23" s="50" t="inlineStr">
        <is>
          <t>Ref</t>
        </is>
      </c>
      <c r="C23" s="51" t="n"/>
      <c r="D23" s="52" t="n"/>
      <c r="E23" s="39" t="n"/>
      <c r="F23" s="34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</row>
    <row r="24">
      <c r="A24" s="48" t="inlineStr">
        <is>
          <t>Game 12</t>
        </is>
      </c>
      <c r="B24" s="33" t="inlineStr">
        <is>
          <t xml:space="preserve">Athena </t>
        </is>
      </c>
      <c r="C24" s="33" t="n"/>
      <c r="D24" s="33" t="inlineStr">
        <is>
          <t>Persephone</t>
        </is>
      </c>
      <c r="E24" s="33" t="n"/>
      <c r="F24" s="34" t="n"/>
      <c r="G24" s="41" t="n"/>
      <c r="H24" s="41">
        <f>CONCAT(B24,D24)</f>
        <v/>
      </c>
      <c r="I24" s="41">
        <f>CONCAT(#REF!,#REF!)</f>
        <v/>
      </c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</row>
    <row r="25">
      <c r="A25" s="49" t="n"/>
      <c r="B25" s="50" t="inlineStr">
        <is>
          <t>Ref</t>
        </is>
      </c>
      <c r="C25" s="51" t="n"/>
      <c r="D25" s="52" t="n"/>
      <c r="E25" s="39" t="n"/>
      <c r="F25" s="34" t="n"/>
      <c r="G25" s="41" t="n"/>
      <c r="H25" s="41" t="n"/>
      <c r="I25" s="41" t="n"/>
      <c r="J25" s="41" t="n"/>
      <c r="K25" s="6" t="n"/>
      <c r="S25" s="41" t="n"/>
    </row>
    <row r="26">
      <c r="A26" s="43" t="n"/>
      <c r="B26" s="43" t="n"/>
      <c r="C26" s="43" t="n"/>
      <c r="D26" s="43" t="n"/>
      <c r="E26" s="43" t="n"/>
      <c r="F26" s="34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</row>
    <row r="27">
      <c r="A27" s="43" t="n"/>
      <c r="B27" s="43" t="n"/>
      <c r="C27" s="43" t="n"/>
      <c r="D27" s="43" t="n"/>
      <c r="E27" s="43" t="n"/>
      <c r="F27" s="34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</row>
    <row r="28"/>
    <row r="29"/>
    <row r="30">
      <c r="A30" s="0" t="inlineStr">
        <is>
          <t>Team Wins/Losses This Week</t>
        </is>
      </c>
    </row>
    <row r="31">
      <c r="A31" s="0" t="inlineStr">
        <is>
          <t>Team Name</t>
        </is>
      </c>
      <c r="B31" s="0" t="inlineStr">
        <is>
          <t>Wins</t>
        </is>
      </c>
      <c r="C31" s="0" t="inlineStr">
        <is>
          <t>Losses</t>
        </is>
      </c>
    </row>
    <row r="32">
      <c r="A32" s="0" t="inlineStr">
        <is>
          <t>Artemis</t>
        </is>
      </c>
      <c r="B32" s="0">
        <f>SUMIFS(C:C,B:B,"Artemis")+SUMIFS(E:E,D:D,"Artemis")</f>
        <v/>
      </c>
      <c r="C32" s="0">
        <f>SUMIFS(E:E,B:B,"Artemis")+SUMIFS(C:C,D:D,"Artemis")</f>
        <v/>
      </c>
    </row>
    <row r="33">
      <c r="A33" s="0" t="inlineStr">
        <is>
          <t>Athena</t>
        </is>
      </c>
      <c r="B33" s="0">
        <f>SUMIFS(C:C,B:B,"Athena")+SUMIFS(E:E,D:D,"Athena")</f>
        <v/>
      </c>
      <c r="C33" s="0">
        <f>SUMIFS(E:E,B:B,"Athena")+SUMIFS(C:C,D:D,"Athena")</f>
        <v/>
      </c>
    </row>
    <row r="34">
      <c r="A34" s="0" t="inlineStr">
        <is>
          <t>Dionysus</t>
        </is>
      </c>
      <c r="B34" s="0">
        <f>SUMIFS(C:C,B:B,"Dionysus")+SUMIFS(E:E,D:D,"Dionysus")</f>
        <v/>
      </c>
      <c r="C34" s="0">
        <f>SUMIFS(E:E,B:B,"Dionysus")+SUMIFS(C:C,D:D,"Dionysus")</f>
        <v/>
      </c>
    </row>
    <row r="35">
      <c r="A35" s="0" t="inlineStr">
        <is>
          <t>Persephone</t>
        </is>
      </c>
      <c r="B35" s="0">
        <f>SUMIFS(C:C,B:B,"Persephone")+SUMIFS(E:E,D:D,"Persephone")</f>
        <v/>
      </c>
      <c r="C35" s="0">
        <f>SUMIFS(E:E,B:B,"Persephone")+SUMIFS(C:C,D:D,"Persephone")</f>
        <v/>
      </c>
    </row>
  </sheetData>
  <mergeCells count="25">
    <mergeCell ref="B11:D11"/>
    <mergeCell ref="A24:A25"/>
    <mergeCell ref="B23:D23"/>
    <mergeCell ref="B1:D1"/>
    <mergeCell ref="B17:D17"/>
    <mergeCell ref="B13:D13"/>
    <mergeCell ref="A16:A17"/>
    <mergeCell ref="A6:A7"/>
    <mergeCell ref="B19:D19"/>
    <mergeCell ref="A12:A13"/>
    <mergeCell ref="B9:D9"/>
    <mergeCell ref="A2:A3"/>
    <mergeCell ref="B15:D15"/>
    <mergeCell ref="A18:A19"/>
    <mergeCell ref="A14:A15"/>
    <mergeCell ref="B5:D5"/>
    <mergeCell ref="A8:A9"/>
    <mergeCell ref="A22:A23"/>
    <mergeCell ref="A4:A5"/>
    <mergeCell ref="A20:A21"/>
    <mergeCell ref="A10:A11"/>
    <mergeCell ref="B7:D7"/>
    <mergeCell ref="B25:D25"/>
    <mergeCell ref="B3:D3"/>
    <mergeCell ref="B21:D21"/>
  </mergeCells>
  <conditionalFormatting sqref="R13">
    <cfRule type="cellIs" priority="1" operator="equal" dxfId="1">
      <formula>0</formula>
    </cfRule>
  </conditionalFormatting>
  <conditionalFormatting sqref="L3:R9">
    <cfRule type="cellIs" priority="2" operator="equal" dxfId="1">
      <formula>0</formula>
    </cfRule>
  </conditionalFormatting>
  <printOptions horizontalCentered="1" gridLines="1"/>
  <pageMargins left="0.7" right="0.7" top="0.75" bottom="0.75" header="0" footer="0"/>
  <pageSetup orientation="portrait" fitToHeight="0" pageOrder="overThenDown" cellComments="atEnd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2025-12-31T00:13:43Z</dcterms:created>
  <dcterms:modified xsi:type="dcterms:W3CDTF">2026-01-05T17:32:07Z</dcterms:modified>
</cp:coreProperties>
</file>