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Schedule Generator" sheetId="2" state="visible" r:id="rId2"/>
    <sheet name="League Standings" sheetId="3" state="visible" r:id="rId3"/>
    <sheet name="Week 1 Schedule" sheetId="4" state="visible" r:id="rId4"/>
    <sheet name="Week 2 Schedule" sheetId="5" state="visible" r:id="rId5"/>
    <sheet name="Week 3 Schedule" sheetId="6" state="visible" r:id="rId6"/>
    <sheet name="Week 4 Schedule" sheetId="7" state="visible" r:id="rId7"/>
    <sheet name="Week 5 Schedule" sheetId="8" state="visible" r:id="rId8"/>
    <sheet name="Week 6 Schedule" sheetId="9" state="visible" r:id="rId9"/>
  </sheets>
  <definedNames/>
  <calcPr calcId="124519" fullCalcOnLoad="1" iterat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4"/>
    </font>
    <font>
      <name val="Arial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EF8E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pivotButton="0" quotePrefix="0" xfId="0"/>
    <xf numFmtId="0" fontId="2" fillId="2" borderId="1" applyAlignment="1" pivotButton="0" quotePrefix="0" xfId="0">
      <alignment horizontal="right" vertical="bottom"/>
    </xf>
    <xf numFmtId="0" fontId="1" fillId="3" borderId="0" pivotButton="0" quotePrefix="0" xfId="0"/>
    <xf numFmtId="0" fontId="0" fillId="0" borderId="1" pivotButton="0" quotePrefix="0" xfId="0"/>
    <xf numFmtId="0" fontId="1" fillId="4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4" borderId="1" pivotButton="0" quotePrefix="0" xfId="0"/>
    <xf numFmtId="0" fontId="1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Team Names</t>
        </is>
      </c>
      <c r="B1" s="9" t="n"/>
      <c r="C1" s="9" t="inlineStr">
        <is>
          <t>Team 1</t>
        </is>
      </c>
      <c r="D1" s="9" t="inlineStr">
        <is>
          <t>Team 2</t>
        </is>
      </c>
      <c r="E1" s="9" t="inlineStr">
        <is>
          <t>Team 3</t>
        </is>
      </c>
      <c r="F1" s="9" t="inlineStr">
        <is>
          <t>Team 4</t>
        </is>
      </c>
      <c r="G1" s="9" t="inlineStr">
        <is>
          <t>Team 5</t>
        </is>
      </c>
      <c r="H1" s="9" t="inlineStr">
        <is>
          <t>Team 6</t>
        </is>
      </c>
      <c r="I1" s="9" t="inlineStr">
        <is>
          <t>Team 7</t>
        </is>
      </c>
      <c r="J1" s="9" t="inlineStr">
        <is>
          <t>Team 8</t>
        </is>
      </c>
    </row>
    <row r="2">
      <c r="A2" s="9" t="inlineStr">
        <is>
          <t>Schedule format</t>
        </is>
      </c>
      <c r="B2" s="9" t="inlineStr">
        <is>
          <t>team-ref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9" t="inlineStr">
        <is>
          <t>League</t>
        </is>
      </c>
      <c r="B3" s="9" t="inlineStr">
        <is>
          <t>Eight Team Team-Ref League</t>
        </is>
      </c>
      <c r="C3" s="9" t="n"/>
      <c r="D3" s="9" t="n"/>
      <c r="E3" s="9" t="n"/>
      <c r="F3" s="9" t="n"/>
      <c r="G3" s="9" t="n"/>
      <c r="H3" s="9" t="n"/>
      <c r="I3" s="9" t="n"/>
      <c r="J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9" t="n"/>
      <c r="B2" s="9" t="inlineStr">
        <is>
          <t>Team 1</t>
        </is>
      </c>
      <c r="C2" s="9" t="inlineStr">
        <is>
          <t>Team 2</t>
        </is>
      </c>
      <c r="D2" s="9" t="inlineStr">
        <is>
          <t>Team 3</t>
        </is>
      </c>
      <c r="E2" s="9" t="inlineStr">
        <is>
          <t>Team 4</t>
        </is>
      </c>
      <c r="F2" s="9" t="inlineStr">
        <is>
          <t>Team 5</t>
        </is>
      </c>
      <c r="G2" s="9" t="inlineStr">
        <is>
          <t>Team 6</t>
        </is>
      </c>
      <c r="H2" s="9" t="inlineStr">
        <is>
          <t>Team 7</t>
        </is>
      </c>
      <c r="I2" s="9" t="inlineStr">
        <is>
          <t>Team 8</t>
        </is>
      </c>
    </row>
    <row r="3">
      <c r="A3" s="9" t="inlineStr">
        <is>
          <t>Team 1</t>
        </is>
      </c>
      <c r="B3" s="9" t="inlineStr">
        <is>
          <t>-</t>
        </is>
      </c>
      <c r="C3" s="9" t="n">
        <v>9</v>
      </c>
      <c r="D3" s="9" t="n">
        <v>9</v>
      </c>
      <c r="E3" s="9" t="n">
        <v>9</v>
      </c>
      <c r="F3" s="9" t="n">
        <v>9</v>
      </c>
      <c r="G3" s="9" t="n">
        <v>8</v>
      </c>
      <c r="H3" s="9" t="n">
        <v>8</v>
      </c>
      <c r="I3" s="9" t="n">
        <v>8</v>
      </c>
    </row>
    <row r="4">
      <c r="A4" s="9" t="inlineStr">
        <is>
          <t>Team 2</t>
        </is>
      </c>
      <c r="B4" s="9" t="n">
        <v>9</v>
      </c>
      <c r="C4" s="9" t="inlineStr">
        <is>
          <t>-</t>
        </is>
      </c>
      <c r="D4" s="9" t="n">
        <v>9</v>
      </c>
      <c r="E4" s="9" t="n">
        <v>9</v>
      </c>
      <c r="F4" s="9" t="n">
        <v>8</v>
      </c>
      <c r="G4" s="9" t="n">
        <v>9</v>
      </c>
      <c r="H4" s="9" t="n">
        <v>8</v>
      </c>
      <c r="I4" s="9" t="n">
        <v>8</v>
      </c>
    </row>
    <row r="5">
      <c r="A5" s="9" t="inlineStr">
        <is>
          <t>Team 3</t>
        </is>
      </c>
      <c r="B5" s="9" t="n">
        <v>9</v>
      </c>
      <c r="C5" s="9" t="n">
        <v>9</v>
      </c>
      <c r="D5" s="9" t="inlineStr">
        <is>
          <t>-</t>
        </is>
      </c>
      <c r="E5" s="9" t="n">
        <v>8</v>
      </c>
      <c r="F5" s="9" t="n">
        <v>9</v>
      </c>
      <c r="G5" s="9" t="n">
        <v>8</v>
      </c>
      <c r="H5" s="9" t="n">
        <v>9</v>
      </c>
      <c r="I5" s="9" t="n">
        <v>8</v>
      </c>
    </row>
    <row r="6">
      <c r="A6" s="9" t="inlineStr">
        <is>
          <t>Team 4</t>
        </is>
      </c>
      <c r="B6" s="9" t="n">
        <v>9</v>
      </c>
      <c r="C6" s="9" t="n">
        <v>9</v>
      </c>
      <c r="D6" s="9" t="n">
        <v>8</v>
      </c>
      <c r="E6" s="9" t="inlineStr">
        <is>
          <t>-</t>
        </is>
      </c>
      <c r="F6" s="9" t="n">
        <v>8</v>
      </c>
      <c r="G6" s="9" t="n">
        <v>9</v>
      </c>
      <c r="H6" s="9" t="n">
        <v>8</v>
      </c>
      <c r="I6" s="9" t="n">
        <v>9</v>
      </c>
    </row>
    <row r="7">
      <c r="A7" s="9" t="inlineStr">
        <is>
          <t>Team 5</t>
        </is>
      </c>
      <c r="B7" s="9" t="n">
        <v>9</v>
      </c>
      <c r="C7" s="9" t="n">
        <v>8</v>
      </c>
      <c r="D7" s="9" t="n">
        <v>9</v>
      </c>
      <c r="E7" s="9" t="n">
        <v>8</v>
      </c>
      <c r="F7" s="9" t="inlineStr">
        <is>
          <t>-</t>
        </is>
      </c>
      <c r="G7" s="9" t="n">
        <v>8</v>
      </c>
      <c r="H7" s="9" t="n">
        <v>9</v>
      </c>
      <c r="I7" s="9" t="n">
        <v>9</v>
      </c>
    </row>
    <row r="8">
      <c r="A8" s="9" t="inlineStr">
        <is>
          <t>Team 6</t>
        </is>
      </c>
      <c r="B8" s="9" t="n">
        <v>8</v>
      </c>
      <c r="C8" s="9" t="n">
        <v>9</v>
      </c>
      <c r="D8" s="9" t="n">
        <v>8</v>
      </c>
      <c r="E8" s="9" t="n">
        <v>9</v>
      </c>
      <c r="F8" s="9" t="n">
        <v>8</v>
      </c>
      <c r="G8" s="9" t="inlineStr">
        <is>
          <t>-</t>
        </is>
      </c>
      <c r="H8" s="9" t="n">
        <v>9</v>
      </c>
      <c r="I8" s="9" t="n">
        <v>9</v>
      </c>
    </row>
    <row r="9">
      <c r="A9" s="9" t="inlineStr">
        <is>
          <t>Team 7</t>
        </is>
      </c>
      <c r="B9" s="9" t="n">
        <v>8</v>
      </c>
      <c r="C9" s="9" t="n">
        <v>8</v>
      </c>
      <c r="D9" s="9" t="n">
        <v>9</v>
      </c>
      <c r="E9" s="9" t="n">
        <v>8</v>
      </c>
      <c r="F9" s="9" t="n">
        <v>9</v>
      </c>
      <c r="G9" s="9" t="n">
        <v>9</v>
      </c>
      <c r="H9" s="9" t="inlineStr">
        <is>
          <t>-</t>
        </is>
      </c>
      <c r="I9" s="9" t="n">
        <v>9</v>
      </c>
    </row>
    <row r="10">
      <c r="A10" s="9" t="inlineStr">
        <is>
          <t>Team 8</t>
        </is>
      </c>
      <c r="B10" s="9" t="n">
        <v>8</v>
      </c>
      <c r="C10" s="9" t="n">
        <v>8</v>
      </c>
      <c r="D10" s="9" t="n">
        <v>8</v>
      </c>
      <c r="E10" s="9" t="n">
        <v>9</v>
      </c>
      <c r="F10" s="9" t="n">
        <v>9</v>
      </c>
      <c r="G10" s="9" t="n">
        <v>9</v>
      </c>
      <c r="H10" s="9" t="n">
        <v>9</v>
      </c>
      <c r="I10" s="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LEAGUE STANDINGS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9" t="inlineStr">
        <is>
          <t>Team Name</t>
        </is>
      </c>
      <c r="B2" s="9" t="inlineStr">
        <is>
          <t>Points For</t>
        </is>
      </c>
      <c r="C2" s="9" t="inlineStr">
        <is>
          <t>Points Against</t>
        </is>
      </c>
      <c r="D2" s="9" t="inlineStr">
        <is>
          <t>Point Differential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>
        <f>INDEX(A17:A24,MATCH(ROUND(LARGE(C17:C24,1),8),C17:C24,0))</f>
        <v/>
      </c>
      <c r="B3" s="9">
        <f>INDEX(B17:B24,MATCH(ROUND(LARGE(C17:C24,1),8),C17:C24,0))</f>
        <v/>
      </c>
      <c r="C3" s="9">
        <f>INDEX(E17:E24,MATCH(ROUND(LARGE(C17:C24,1),8),C17:C24,0))</f>
        <v/>
      </c>
      <c r="D3" s="9">
        <f>B3-C3</f>
        <v/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>
        <f>INDEX(A17:A24,MATCH(ROUND(LARGE(C17:C24,2),8),C17:C24,0))</f>
        <v/>
      </c>
      <c r="B4" s="9">
        <f>INDEX(B17:B24,MATCH(ROUND(LARGE(C17:C24,2),8),C17:C24,0))</f>
        <v/>
      </c>
      <c r="C4" s="9">
        <f>INDEX(E17:E24,MATCH(ROUND(LARGE(C17:C24,2),8),C17:C24,0))</f>
        <v/>
      </c>
      <c r="D4" s="9">
        <f>B4-C4</f>
        <v/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>
        <f>INDEX(A17:A24,MATCH(ROUND(LARGE(C17:C24,3),8),C17:C24,0))</f>
        <v/>
      </c>
      <c r="B5" s="9">
        <f>INDEX(B17:B24,MATCH(ROUND(LARGE(C17:C24,3),8),C17:C24,0))</f>
        <v/>
      </c>
      <c r="C5" s="9">
        <f>INDEX(E17:E24,MATCH(ROUND(LARGE(C17:C24,3),8),C17:C24,0))</f>
        <v/>
      </c>
      <c r="D5" s="9">
        <f>B5-C5</f>
        <v/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>
        <f>INDEX(A17:A24,MATCH(ROUND(LARGE(C17:C24,4),8),C17:C24,0))</f>
        <v/>
      </c>
      <c r="B6" s="9">
        <f>INDEX(B17:B24,MATCH(ROUND(LARGE(C17:C24,4),8),C17:C24,0))</f>
        <v/>
      </c>
      <c r="C6" s="9">
        <f>INDEX(E17:E24,MATCH(ROUND(LARGE(C17:C24,4),8),C17:C24,0))</f>
        <v/>
      </c>
      <c r="D6" s="9">
        <f>B6-C6</f>
        <v/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>
        <f>INDEX(A17:A24,MATCH(ROUND(LARGE(C17:C24,5),8),C17:C24,0))</f>
        <v/>
      </c>
      <c r="B7" s="9">
        <f>INDEX(B17:B24,MATCH(ROUND(LARGE(C17:C24,5),8),C17:C24,0))</f>
        <v/>
      </c>
      <c r="C7" s="9">
        <f>INDEX(E17:E24,MATCH(ROUND(LARGE(C17:C24,5),8),C17:C24,0))</f>
        <v/>
      </c>
      <c r="D7" s="9">
        <f>B7-C7</f>
        <v/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>
        <f>INDEX(A17:A24,MATCH(ROUND(LARGE(C17:C24,6),8),C17:C24,0))</f>
        <v/>
      </c>
      <c r="B8" s="9">
        <f>INDEX(B17:B24,MATCH(ROUND(LARGE(C17:C24,6),8),C17:C24,0))</f>
        <v/>
      </c>
      <c r="C8" s="9">
        <f>INDEX(E17:E24,MATCH(ROUND(LARGE(C17:C24,6),8),C17:C24,0))</f>
        <v/>
      </c>
      <c r="D8" s="9">
        <f>B8-C8</f>
        <v/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>
        <f>INDEX(A17:A24,MATCH(ROUND(LARGE(C17:C24,7),8),C17:C24,0))</f>
        <v/>
      </c>
      <c r="B9" s="9">
        <f>INDEX(B17:B24,MATCH(ROUND(LARGE(C17:C24,7),8),C17:C24,0))</f>
        <v/>
      </c>
      <c r="C9" s="9">
        <f>INDEX(E17:E24,MATCH(ROUND(LARGE(C17:C24,7),8),C17:C24,0))</f>
        <v/>
      </c>
      <c r="D9" s="9">
        <f>B9-C9</f>
        <v/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>
        <f>INDEX(A17:A24,MATCH(ROUND(LARGE(C17:C24,8),8),C17:C24,0))</f>
        <v/>
      </c>
      <c r="B10" s="9">
        <f>INDEX(B17:B24,MATCH(ROUND(LARGE(C17:C24,8),8),C17:C24,0))</f>
        <v/>
      </c>
      <c r="C10" s="9">
        <f>INDEX(E17:E24,MATCH(ROUND(LARGE(C17:C24,8),8),C17:C24,0))</f>
        <v/>
      </c>
      <c r="D10" s="9">
        <f>B10-C10</f>
        <v/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Week #</t>
        </is>
      </c>
      <c r="B11" s="9" t="n">
        <v>0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inlineStr">
        <is>
          <t>Teams</t>
        </is>
      </c>
      <c r="B16" s="9" t="inlineStr">
        <is>
          <t>Wins</t>
        </is>
      </c>
      <c r="C16" s="9" t="n"/>
      <c r="D16" s="9" t="n"/>
      <c r="E16" s="9" t="inlineStr">
        <is>
          <t>Losses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inlineStr">
        <is>
          <t>Team 1</t>
        </is>
      </c>
      <c r="B17" s="9">
        <f>'Week 1 Schedule'!B45+'Week 2 Schedule'!B45+'Week 3 Schedule'!B45+'Week 4 Schedule'!B45+'Week 5 Schedule'!B45+'Week 6 Schedule'!B45</f>
        <v/>
      </c>
      <c r="C17" s="9">
        <f>ROUND(B17+17/10000,8)</f>
        <v/>
      </c>
      <c r="D17" s="9" t="n"/>
      <c r="E17" s="9">
        <f>'Week 1 Schedule'!C45+'Week 2 Schedule'!C45+'Week 3 Schedule'!C45+'Week 4 Schedule'!C45+'Week 5 Schedule'!C45+'Week 6 Schedule'!C45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inlineStr">
        <is>
          <t>Team 2</t>
        </is>
      </c>
      <c r="B18" s="9">
        <f>'Week 1 Schedule'!B46+'Week 2 Schedule'!B46+'Week 3 Schedule'!B46+'Week 4 Schedule'!B46+'Week 5 Schedule'!B46+'Week 6 Schedule'!B46</f>
        <v/>
      </c>
      <c r="C18" s="9">
        <f>ROUND(B18+18/10000,8)</f>
        <v/>
      </c>
      <c r="D18" s="9" t="n"/>
      <c r="E18" s="9">
        <f>'Week 1 Schedule'!C46+'Week 2 Schedule'!C46+'Week 3 Schedule'!C46+'Week 4 Schedule'!C46+'Week 5 Schedule'!C46+'Week 6 Schedule'!C46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inlineStr">
        <is>
          <t>Team 3</t>
        </is>
      </c>
      <c r="B19" s="9">
        <f>'Week 1 Schedule'!B47+'Week 2 Schedule'!B47+'Week 3 Schedule'!B47+'Week 4 Schedule'!B47+'Week 5 Schedule'!B47+'Week 6 Schedule'!B47</f>
        <v/>
      </c>
      <c r="C19" s="9">
        <f>ROUND(B19+19/10000,8)</f>
        <v/>
      </c>
      <c r="D19" s="9" t="n"/>
      <c r="E19" s="9">
        <f>'Week 1 Schedule'!C47+'Week 2 Schedule'!C47+'Week 3 Schedule'!C47+'Week 4 Schedule'!C47+'Week 5 Schedule'!C47+'Week 6 Schedule'!C47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inlineStr">
        <is>
          <t>Team 4</t>
        </is>
      </c>
      <c r="B20" s="9">
        <f>'Week 1 Schedule'!B48+'Week 2 Schedule'!B48+'Week 3 Schedule'!B48+'Week 4 Schedule'!B48+'Week 5 Schedule'!B48+'Week 6 Schedule'!B48</f>
        <v/>
      </c>
      <c r="C20" s="9">
        <f>ROUND(B20+20/10000,8)</f>
        <v/>
      </c>
      <c r="D20" s="9" t="n"/>
      <c r="E20" s="9">
        <f>'Week 1 Schedule'!C48+'Week 2 Schedule'!C48+'Week 3 Schedule'!C48+'Week 4 Schedule'!C48+'Week 5 Schedule'!C48+'Week 6 Schedule'!C48</f>
        <v/>
      </c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inlineStr">
        <is>
          <t>Team 5</t>
        </is>
      </c>
      <c r="B21" s="9">
        <f>'Week 1 Schedule'!B49+'Week 2 Schedule'!B49+'Week 3 Schedule'!B49+'Week 4 Schedule'!B49+'Week 5 Schedule'!B49+'Week 6 Schedule'!B49</f>
        <v/>
      </c>
      <c r="C21" s="9">
        <f>ROUND(B21+21/10000,8)</f>
        <v/>
      </c>
      <c r="D21" s="9" t="n"/>
      <c r="E21" s="9">
        <f>'Week 1 Schedule'!C49+'Week 2 Schedule'!C49+'Week 3 Schedule'!C49+'Week 4 Schedule'!C49+'Week 5 Schedule'!C49+'Week 6 Schedule'!C49</f>
        <v/>
      </c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inlineStr">
        <is>
          <t>Team 6</t>
        </is>
      </c>
      <c r="B22" s="9">
        <f>'Week 1 Schedule'!B50+'Week 2 Schedule'!B50+'Week 3 Schedule'!B50+'Week 4 Schedule'!B50+'Week 5 Schedule'!B50+'Week 6 Schedule'!B50</f>
        <v/>
      </c>
      <c r="C22" s="9">
        <f>ROUND(B22+22/10000,8)</f>
        <v/>
      </c>
      <c r="D22" s="9" t="n"/>
      <c r="E22" s="9">
        <f>'Week 1 Schedule'!C50+'Week 2 Schedule'!C50+'Week 3 Schedule'!C50+'Week 4 Schedule'!C50+'Week 5 Schedule'!C50+'Week 6 Schedule'!C50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inlineStr">
        <is>
          <t>Team 7</t>
        </is>
      </c>
      <c r="B23" s="9">
        <f>'Week 1 Schedule'!B51+'Week 2 Schedule'!B51+'Week 3 Schedule'!B51+'Week 4 Schedule'!B51+'Week 5 Schedule'!B51+'Week 6 Schedule'!B51</f>
        <v/>
      </c>
      <c r="C23" s="9">
        <f>ROUND(B23+23/10000,8)</f>
        <v/>
      </c>
      <c r="D23" s="9" t="n"/>
      <c r="E23" s="9">
        <f>'Week 1 Schedule'!C51+'Week 2 Schedule'!C51+'Week 3 Schedule'!C51+'Week 4 Schedule'!C51+'Week 5 Schedule'!C51+'Week 6 Schedule'!C51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inlineStr">
        <is>
          <t>Team 8</t>
        </is>
      </c>
      <c r="B24" s="9">
        <f>'Week 1 Schedule'!B52+'Week 2 Schedule'!B52+'Week 3 Schedule'!B52+'Week 4 Schedule'!B52+'Week 5 Schedule'!B52+'Week 6 Schedule'!B52</f>
        <v/>
      </c>
      <c r="C24" s="9">
        <f>ROUND(B24+24/10000,8)</f>
        <v/>
      </c>
      <c r="D24" s="9" t="n"/>
      <c r="E24" s="9">
        <f>'Week 1 Schedule'!C52+'Week 2 Schedule'!C52+'Week 3 Schedule'!C52+'Week 4 Schedule'!C52+'Week 5 Schedule'!C52+'Week 6 Schedule'!C52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9" t="inlineStr">
        <is>
          <t>Head-to-head wins (row vs column; higher score wins the game)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9" t="inlineStr"/>
      <c r="B28" s="9" t="inlineStr">
        <is>
          <t>Team 1</t>
        </is>
      </c>
      <c r="C28" s="9" t="inlineStr">
        <is>
          <t>Team 2</t>
        </is>
      </c>
      <c r="D28" s="9" t="inlineStr">
        <is>
          <t>Team 3</t>
        </is>
      </c>
      <c r="E28" s="9" t="inlineStr">
        <is>
          <t>Team 4</t>
        </is>
      </c>
      <c r="F28" s="9" t="inlineStr">
        <is>
          <t>Team 5</t>
        </is>
      </c>
      <c r="G28" s="9" t="inlineStr">
        <is>
          <t>Team 6</t>
        </is>
      </c>
      <c r="H28" s="9" t="inlineStr">
        <is>
          <t>Team 7</t>
        </is>
      </c>
      <c r="I28" s="9" t="inlineStr">
        <is>
          <t>Team 8</t>
        </is>
      </c>
      <c r="J28" s="9" t="n"/>
      <c r="K28" s="9" t="n"/>
      <c r="L28" s="9" t="n"/>
      <c r="M28" s="9" t="n"/>
    </row>
    <row r="29">
      <c r="A29" s="9" t="inlineStr">
        <is>
          <t>Team 1</t>
        </is>
      </c>
      <c r="B29" s="9" t="inlineStr">
        <is>
          <t>—</t>
        </is>
      </c>
      <c r="C29" s="9">
        <f>(SUMPRODUCT(--('Week 1 Schedule'!$B$2:$B$500=$A29),--('Week 1 Schedule'!$D$2:$D$500=$C$28),--('Week 1 Schedule'!$C$2:$C$500&gt;'Week 1 Schedule'!$E$2:$E$500))+SUMPRODUCT(--('Week 1 Schedule'!$B$2:$B$500=$C$28),--('Week 1 Schedule'!$D$2:$D$500=$A29),--('Week 1 Schedule'!$E$2:$E$500&gt;'Week 1 Schedule'!$C$2:$C$500)))+(SUMPRODUCT(--('Week 1 Schedule'!$G$2:$G$500=$A29),--('Week 1 Schedule'!$I$2:$I$500=$C$28),--('Week 1 Schedule'!$H$2:$H$500&gt;'Week 1 Schedule'!$J$2:$J$500))+SUMPRODUCT(--('Week 1 Schedule'!$G$2:$G$500=$C$28),--('Week 1 Schedule'!$I$2:$I$500=$A29),--('Week 1 Schedule'!$J$2:$J$500&gt;'Week 1 Schedule'!$H$2:$H$500)))+(SUMPRODUCT(--('Week 2 Schedule'!$B$2:$B$500=$A29),--('Week 2 Schedule'!$D$2:$D$500=$C$28),--('Week 2 Schedule'!$C$2:$C$500&gt;'Week 2 Schedule'!$E$2:$E$500))+SUMPRODUCT(--('Week 2 Schedule'!$B$2:$B$500=$C$28),--('Week 2 Schedule'!$D$2:$D$500=$A29),--('Week 2 Schedule'!$E$2:$E$500&gt;'Week 2 Schedule'!$C$2:$C$500)))+(SUMPRODUCT(--('Week 2 Schedule'!$G$2:$G$500=$A29),--('Week 2 Schedule'!$I$2:$I$500=$C$28),--('Week 2 Schedule'!$H$2:$H$500&gt;'Week 2 Schedule'!$J$2:$J$500))+SUMPRODUCT(--('Week 2 Schedule'!$G$2:$G$500=$C$28),--('Week 2 Schedule'!$I$2:$I$500=$A29),--('Week 2 Schedule'!$J$2:$J$500&gt;'Week 2 Schedule'!$H$2:$H$500)))+(SUMPRODUCT(--('Week 3 Schedule'!$B$2:$B$500=$A29),--('Week 3 Schedule'!$D$2:$D$500=$C$28),--('Week 3 Schedule'!$C$2:$C$500&gt;'Week 3 Schedule'!$E$2:$E$500))+SUMPRODUCT(--('Week 3 Schedule'!$B$2:$B$500=$C$28),--('Week 3 Schedule'!$D$2:$D$500=$A29),--('Week 3 Schedule'!$E$2:$E$500&gt;'Week 3 Schedule'!$C$2:$C$500)))+(SUMPRODUCT(--('Week 3 Schedule'!$G$2:$G$500=$A29),--('Week 3 Schedule'!$I$2:$I$500=$C$28),--('Week 3 Schedule'!$H$2:$H$500&gt;'Week 3 Schedule'!$J$2:$J$500))+SUMPRODUCT(--('Week 3 Schedule'!$G$2:$G$500=$C$28),--('Week 3 Schedule'!$I$2:$I$500=$A29),--('Week 3 Schedule'!$J$2:$J$500&gt;'Week 3 Schedule'!$H$2:$H$500)))+(SUMPRODUCT(--('Week 4 Schedule'!$B$2:$B$500=$A29),--('Week 4 Schedule'!$D$2:$D$500=$C$28),--('Week 4 Schedule'!$C$2:$C$500&gt;'Week 4 Schedule'!$E$2:$E$500))+SUMPRODUCT(--('Week 4 Schedule'!$B$2:$B$500=$C$28),--('Week 4 Schedule'!$D$2:$D$500=$A29),--('Week 4 Schedule'!$E$2:$E$500&gt;'Week 4 Schedule'!$C$2:$C$500)))+(SUMPRODUCT(--('Week 4 Schedule'!$G$2:$G$500=$A29),--('Week 4 Schedule'!$I$2:$I$500=$C$28),--('Week 4 Schedule'!$H$2:$H$500&gt;'Week 4 Schedule'!$J$2:$J$500))+SUMPRODUCT(--('Week 4 Schedule'!$G$2:$G$500=$C$28),--('Week 4 Schedule'!$I$2:$I$500=$A29),--('Week 4 Schedule'!$J$2:$J$500&gt;'Week 4 Schedule'!$H$2:$H$500)))+(SUMPRODUCT(--('Week 5 Schedule'!$B$2:$B$500=$A29),--('Week 5 Schedule'!$D$2:$D$500=$C$28),--('Week 5 Schedule'!$C$2:$C$500&gt;'Week 5 Schedule'!$E$2:$E$500))+SUMPRODUCT(--('Week 5 Schedule'!$B$2:$B$500=$C$28),--('Week 5 Schedule'!$D$2:$D$500=$A29),--('Week 5 Schedule'!$E$2:$E$500&gt;'Week 5 Schedule'!$C$2:$C$500)))+(SUMPRODUCT(--('Week 5 Schedule'!$G$2:$G$500=$A29),--('Week 5 Schedule'!$I$2:$I$500=$C$28),--('Week 5 Schedule'!$H$2:$H$500&gt;'Week 5 Schedule'!$J$2:$J$500))+SUMPRODUCT(--('Week 5 Schedule'!$G$2:$G$500=$C$28),--('Week 5 Schedule'!$I$2:$I$500=$A29),--('Week 5 Schedule'!$J$2:$J$500&gt;'Week 5 Schedule'!$H$2:$H$500)))+(SUMPRODUCT(--('Week 6 Schedule'!$B$2:$B$500=$A29),--('Week 6 Schedule'!$D$2:$D$500=$C$28),--('Week 6 Schedule'!$C$2:$C$500&gt;'Week 6 Schedule'!$E$2:$E$500))+SUMPRODUCT(--('Week 6 Schedule'!$B$2:$B$500=$C$28),--('Week 6 Schedule'!$D$2:$D$500=$A29),--('Week 6 Schedule'!$E$2:$E$500&gt;'Week 6 Schedule'!$C$2:$C$500)))+(SUMPRODUCT(--('Week 6 Schedule'!$G$2:$G$500=$A29),--('Week 6 Schedule'!$I$2:$I$500=$C$28),--('Week 6 Schedule'!$H$2:$H$500&gt;'Week 6 Schedule'!$J$2:$J$500))+SUMPRODUCT(--('Week 6 Schedule'!$G$2:$G$500=$C$28),--('Week 6 Schedule'!$I$2:$I$500=$A29),--('Week 6 Schedule'!$J$2:$J$500&gt;'Week 6 Schedule'!$H$2:$H$500)))</f>
        <v/>
      </c>
      <c r="D29" s="9">
        <f>(SUMPRODUCT(--('Week 1 Schedule'!$B$2:$B$500=$A29),--('Week 1 Schedule'!$D$2:$D$500=$D$28),--('Week 1 Schedule'!$C$2:$C$500&gt;'Week 1 Schedule'!$E$2:$E$500))+SUMPRODUCT(--('Week 1 Schedule'!$B$2:$B$500=$D$28),--('Week 1 Schedule'!$D$2:$D$500=$A29),--('Week 1 Schedule'!$E$2:$E$500&gt;'Week 1 Schedule'!$C$2:$C$500)))+(SUMPRODUCT(--('Week 1 Schedule'!$G$2:$G$500=$A29),--('Week 1 Schedule'!$I$2:$I$500=$D$28),--('Week 1 Schedule'!$H$2:$H$500&gt;'Week 1 Schedule'!$J$2:$J$500))+SUMPRODUCT(--('Week 1 Schedule'!$G$2:$G$500=$D$28),--('Week 1 Schedule'!$I$2:$I$500=$A29),--('Week 1 Schedule'!$J$2:$J$500&gt;'Week 1 Schedule'!$H$2:$H$500)))+(SUMPRODUCT(--('Week 2 Schedule'!$B$2:$B$500=$A29),--('Week 2 Schedule'!$D$2:$D$500=$D$28),--('Week 2 Schedule'!$C$2:$C$500&gt;'Week 2 Schedule'!$E$2:$E$500))+SUMPRODUCT(--('Week 2 Schedule'!$B$2:$B$500=$D$28),--('Week 2 Schedule'!$D$2:$D$500=$A29),--('Week 2 Schedule'!$E$2:$E$500&gt;'Week 2 Schedule'!$C$2:$C$500)))+(SUMPRODUCT(--('Week 2 Schedule'!$G$2:$G$500=$A29),--('Week 2 Schedule'!$I$2:$I$500=$D$28),--('Week 2 Schedule'!$H$2:$H$500&gt;'Week 2 Schedule'!$J$2:$J$500))+SUMPRODUCT(--('Week 2 Schedule'!$G$2:$G$500=$D$28),--('Week 2 Schedule'!$I$2:$I$500=$A29),--('Week 2 Schedule'!$J$2:$J$500&gt;'Week 2 Schedule'!$H$2:$H$500)))+(SUMPRODUCT(--('Week 3 Schedule'!$B$2:$B$500=$A29),--('Week 3 Schedule'!$D$2:$D$500=$D$28),--('Week 3 Schedule'!$C$2:$C$500&gt;'Week 3 Schedule'!$E$2:$E$500))+SUMPRODUCT(--('Week 3 Schedule'!$B$2:$B$500=$D$28),--('Week 3 Schedule'!$D$2:$D$500=$A29),--('Week 3 Schedule'!$E$2:$E$500&gt;'Week 3 Schedule'!$C$2:$C$500)))+(SUMPRODUCT(--('Week 3 Schedule'!$G$2:$G$500=$A29),--('Week 3 Schedule'!$I$2:$I$500=$D$28),--('Week 3 Schedule'!$H$2:$H$500&gt;'Week 3 Schedule'!$J$2:$J$500))+SUMPRODUCT(--('Week 3 Schedule'!$G$2:$G$500=$D$28),--('Week 3 Schedule'!$I$2:$I$500=$A29),--('Week 3 Schedule'!$J$2:$J$500&gt;'Week 3 Schedule'!$H$2:$H$500)))+(SUMPRODUCT(--('Week 4 Schedule'!$B$2:$B$500=$A29),--('Week 4 Schedule'!$D$2:$D$500=$D$28),--('Week 4 Schedule'!$C$2:$C$500&gt;'Week 4 Schedule'!$E$2:$E$500))+SUMPRODUCT(--('Week 4 Schedule'!$B$2:$B$500=$D$28),--('Week 4 Schedule'!$D$2:$D$500=$A29),--('Week 4 Schedule'!$E$2:$E$500&gt;'Week 4 Schedule'!$C$2:$C$500)))+(SUMPRODUCT(--('Week 4 Schedule'!$G$2:$G$500=$A29),--('Week 4 Schedule'!$I$2:$I$500=$D$28),--('Week 4 Schedule'!$H$2:$H$500&gt;'Week 4 Schedule'!$J$2:$J$500))+SUMPRODUCT(--('Week 4 Schedule'!$G$2:$G$500=$D$28),--('Week 4 Schedule'!$I$2:$I$500=$A29),--('Week 4 Schedule'!$J$2:$J$500&gt;'Week 4 Schedule'!$H$2:$H$500)))+(SUMPRODUCT(--('Week 5 Schedule'!$B$2:$B$500=$A29),--('Week 5 Schedule'!$D$2:$D$500=$D$28),--('Week 5 Schedule'!$C$2:$C$500&gt;'Week 5 Schedule'!$E$2:$E$500))+SUMPRODUCT(--('Week 5 Schedule'!$B$2:$B$500=$D$28),--('Week 5 Schedule'!$D$2:$D$500=$A29),--('Week 5 Schedule'!$E$2:$E$500&gt;'Week 5 Schedule'!$C$2:$C$500)))+(SUMPRODUCT(--('Week 5 Schedule'!$G$2:$G$500=$A29),--('Week 5 Schedule'!$I$2:$I$500=$D$28),--('Week 5 Schedule'!$H$2:$H$500&gt;'Week 5 Schedule'!$J$2:$J$500))+SUMPRODUCT(--('Week 5 Schedule'!$G$2:$G$500=$D$28),--('Week 5 Schedule'!$I$2:$I$500=$A29),--('Week 5 Schedule'!$J$2:$J$500&gt;'Week 5 Schedule'!$H$2:$H$500)))+(SUMPRODUCT(--('Week 6 Schedule'!$B$2:$B$500=$A29),--('Week 6 Schedule'!$D$2:$D$500=$D$28),--('Week 6 Schedule'!$C$2:$C$500&gt;'Week 6 Schedule'!$E$2:$E$500))+SUMPRODUCT(--('Week 6 Schedule'!$B$2:$B$500=$D$28),--('Week 6 Schedule'!$D$2:$D$500=$A29),--('Week 6 Schedule'!$E$2:$E$500&gt;'Week 6 Schedule'!$C$2:$C$500)))+(SUMPRODUCT(--('Week 6 Schedule'!$G$2:$G$500=$A29),--('Week 6 Schedule'!$I$2:$I$500=$D$28),--('Week 6 Schedule'!$H$2:$H$500&gt;'Week 6 Schedule'!$J$2:$J$500))+SUMPRODUCT(--('Week 6 Schedule'!$G$2:$G$500=$D$28),--('Week 6 Schedule'!$I$2:$I$500=$A29),--('Week 6 Schedule'!$J$2:$J$500&gt;'Week 6 Schedule'!$H$2:$H$500)))</f>
        <v/>
      </c>
      <c r="E29" s="9">
        <f>(SUMPRODUCT(--('Week 1 Schedule'!$B$2:$B$500=$A29),--('Week 1 Schedule'!$D$2:$D$500=$E$28),--('Week 1 Schedule'!$C$2:$C$500&gt;'Week 1 Schedule'!$E$2:$E$500))+SUMPRODUCT(--('Week 1 Schedule'!$B$2:$B$500=$E$28),--('Week 1 Schedule'!$D$2:$D$500=$A29),--('Week 1 Schedule'!$E$2:$E$500&gt;'Week 1 Schedule'!$C$2:$C$500)))+(SUMPRODUCT(--('Week 1 Schedule'!$G$2:$G$500=$A29),--('Week 1 Schedule'!$I$2:$I$500=$E$28),--('Week 1 Schedule'!$H$2:$H$500&gt;'Week 1 Schedule'!$J$2:$J$500))+SUMPRODUCT(--('Week 1 Schedule'!$G$2:$G$500=$E$28),--('Week 1 Schedule'!$I$2:$I$500=$A29),--('Week 1 Schedule'!$J$2:$J$500&gt;'Week 1 Schedule'!$H$2:$H$500)))+(SUMPRODUCT(--('Week 2 Schedule'!$B$2:$B$500=$A29),--('Week 2 Schedule'!$D$2:$D$500=$E$28),--('Week 2 Schedule'!$C$2:$C$500&gt;'Week 2 Schedule'!$E$2:$E$500))+SUMPRODUCT(--('Week 2 Schedule'!$B$2:$B$500=$E$28),--('Week 2 Schedule'!$D$2:$D$500=$A29),--('Week 2 Schedule'!$E$2:$E$500&gt;'Week 2 Schedule'!$C$2:$C$500)))+(SUMPRODUCT(--('Week 2 Schedule'!$G$2:$G$500=$A29),--('Week 2 Schedule'!$I$2:$I$500=$E$28),--('Week 2 Schedule'!$H$2:$H$500&gt;'Week 2 Schedule'!$J$2:$J$500))+SUMPRODUCT(--('Week 2 Schedule'!$G$2:$G$500=$E$28),--('Week 2 Schedule'!$I$2:$I$500=$A29),--('Week 2 Schedule'!$J$2:$J$500&gt;'Week 2 Schedule'!$H$2:$H$500)))+(SUMPRODUCT(--('Week 3 Schedule'!$B$2:$B$500=$A29),--('Week 3 Schedule'!$D$2:$D$500=$E$28),--('Week 3 Schedule'!$C$2:$C$500&gt;'Week 3 Schedule'!$E$2:$E$500))+SUMPRODUCT(--('Week 3 Schedule'!$B$2:$B$500=$E$28),--('Week 3 Schedule'!$D$2:$D$500=$A29),--('Week 3 Schedule'!$E$2:$E$500&gt;'Week 3 Schedule'!$C$2:$C$500)))+(SUMPRODUCT(--('Week 3 Schedule'!$G$2:$G$500=$A29),--('Week 3 Schedule'!$I$2:$I$500=$E$28),--('Week 3 Schedule'!$H$2:$H$500&gt;'Week 3 Schedule'!$J$2:$J$500))+SUMPRODUCT(--('Week 3 Schedule'!$G$2:$G$500=$E$28),--('Week 3 Schedule'!$I$2:$I$500=$A29),--('Week 3 Schedule'!$J$2:$J$500&gt;'Week 3 Schedule'!$H$2:$H$500)))+(SUMPRODUCT(--('Week 4 Schedule'!$B$2:$B$500=$A29),--('Week 4 Schedule'!$D$2:$D$500=$E$28),--('Week 4 Schedule'!$C$2:$C$500&gt;'Week 4 Schedule'!$E$2:$E$500))+SUMPRODUCT(--('Week 4 Schedule'!$B$2:$B$500=$E$28),--('Week 4 Schedule'!$D$2:$D$500=$A29),--('Week 4 Schedule'!$E$2:$E$500&gt;'Week 4 Schedule'!$C$2:$C$500)))+(SUMPRODUCT(--('Week 4 Schedule'!$G$2:$G$500=$A29),--('Week 4 Schedule'!$I$2:$I$500=$E$28),--('Week 4 Schedule'!$H$2:$H$500&gt;'Week 4 Schedule'!$J$2:$J$500))+SUMPRODUCT(--('Week 4 Schedule'!$G$2:$G$500=$E$28),--('Week 4 Schedule'!$I$2:$I$500=$A29),--('Week 4 Schedule'!$J$2:$J$500&gt;'Week 4 Schedule'!$H$2:$H$500)))+(SUMPRODUCT(--('Week 5 Schedule'!$B$2:$B$500=$A29),--('Week 5 Schedule'!$D$2:$D$500=$E$28),--('Week 5 Schedule'!$C$2:$C$500&gt;'Week 5 Schedule'!$E$2:$E$500))+SUMPRODUCT(--('Week 5 Schedule'!$B$2:$B$500=$E$28),--('Week 5 Schedule'!$D$2:$D$500=$A29),--('Week 5 Schedule'!$E$2:$E$500&gt;'Week 5 Schedule'!$C$2:$C$500)))+(SUMPRODUCT(--('Week 5 Schedule'!$G$2:$G$500=$A29),--('Week 5 Schedule'!$I$2:$I$500=$E$28),--('Week 5 Schedule'!$H$2:$H$500&gt;'Week 5 Schedule'!$J$2:$J$500))+SUMPRODUCT(--('Week 5 Schedule'!$G$2:$G$500=$E$28),--('Week 5 Schedule'!$I$2:$I$500=$A29),--('Week 5 Schedule'!$J$2:$J$500&gt;'Week 5 Schedule'!$H$2:$H$500)))+(SUMPRODUCT(--('Week 6 Schedule'!$B$2:$B$500=$A29),--('Week 6 Schedule'!$D$2:$D$500=$E$28),--('Week 6 Schedule'!$C$2:$C$500&gt;'Week 6 Schedule'!$E$2:$E$500))+SUMPRODUCT(--('Week 6 Schedule'!$B$2:$B$500=$E$28),--('Week 6 Schedule'!$D$2:$D$500=$A29),--('Week 6 Schedule'!$E$2:$E$500&gt;'Week 6 Schedule'!$C$2:$C$500)))+(SUMPRODUCT(--('Week 6 Schedule'!$G$2:$G$500=$A29),--('Week 6 Schedule'!$I$2:$I$500=$E$28),--('Week 6 Schedule'!$H$2:$H$500&gt;'Week 6 Schedule'!$J$2:$J$500))+SUMPRODUCT(--('Week 6 Schedule'!$G$2:$G$500=$E$28),--('Week 6 Schedule'!$I$2:$I$500=$A29),--('Week 6 Schedule'!$J$2:$J$500&gt;'Week 6 Schedule'!$H$2:$H$500)))</f>
        <v/>
      </c>
      <c r="F29" s="9">
        <f>(SUMPRODUCT(--('Week 1 Schedule'!$B$2:$B$500=$A29),--('Week 1 Schedule'!$D$2:$D$500=$F$28),--('Week 1 Schedule'!$C$2:$C$500&gt;'Week 1 Schedule'!$E$2:$E$500))+SUMPRODUCT(--('Week 1 Schedule'!$B$2:$B$500=$F$28),--('Week 1 Schedule'!$D$2:$D$500=$A29),--('Week 1 Schedule'!$E$2:$E$500&gt;'Week 1 Schedule'!$C$2:$C$500)))+(SUMPRODUCT(--('Week 1 Schedule'!$G$2:$G$500=$A29),--('Week 1 Schedule'!$I$2:$I$500=$F$28),--('Week 1 Schedule'!$H$2:$H$500&gt;'Week 1 Schedule'!$J$2:$J$500))+SUMPRODUCT(--('Week 1 Schedule'!$G$2:$G$500=$F$28),--('Week 1 Schedule'!$I$2:$I$500=$A29),--('Week 1 Schedule'!$J$2:$J$500&gt;'Week 1 Schedule'!$H$2:$H$500)))+(SUMPRODUCT(--('Week 2 Schedule'!$B$2:$B$500=$A29),--('Week 2 Schedule'!$D$2:$D$500=$F$28),--('Week 2 Schedule'!$C$2:$C$500&gt;'Week 2 Schedule'!$E$2:$E$500))+SUMPRODUCT(--('Week 2 Schedule'!$B$2:$B$500=$F$28),--('Week 2 Schedule'!$D$2:$D$500=$A29),--('Week 2 Schedule'!$E$2:$E$500&gt;'Week 2 Schedule'!$C$2:$C$500)))+(SUMPRODUCT(--('Week 2 Schedule'!$G$2:$G$500=$A29),--('Week 2 Schedule'!$I$2:$I$500=$F$28),--('Week 2 Schedule'!$H$2:$H$500&gt;'Week 2 Schedule'!$J$2:$J$500))+SUMPRODUCT(--('Week 2 Schedule'!$G$2:$G$500=$F$28),--('Week 2 Schedule'!$I$2:$I$500=$A29),--('Week 2 Schedule'!$J$2:$J$500&gt;'Week 2 Schedule'!$H$2:$H$500)))+(SUMPRODUCT(--('Week 3 Schedule'!$B$2:$B$500=$A29),--('Week 3 Schedule'!$D$2:$D$500=$F$28),--('Week 3 Schedule'!$C$2:$C$500&gt;'Week 3 Schedule'!$E$2:$E$500))+SUMPRODUCT(--('Week 3 Schedule'!$B$2:$B$500=$F$28),--('Week 3 Schedule'!$D$2:$D$500=$A29),--('Week 3 Schedule'!$E$2:$E$500&gt;'Week 3 Schedule'!$C$2:$C$500)))+(SUMPRODUCT(--('Week 3 Schedule'!$G$2:$G$500=$A29),--('Week 3 Schedule'!$I$2:$I$500=$F$28),--('Week 3 Schedule'!$H$2:$H$500&gt;'Week 3 Schedule'!$J$2:$J$500))+SUMPRODUCT(--('Week 3 Schedule'!$G$2:$G$500=$F$28),--('Week 3 Schedule'!$I$2:$I$500=$A29),--('Week 3 Schedule'!$J$2:$J$500&gt;'Week 3 Schedule'!$H$2:$H$500)))+(SUMPRODUCT(--('Week 4 Schedule'!$B$2:$B$500=$A29),--('Week 4 Schedule'!$D$2:$D$500=$F$28),--('Week 4 Schedule'!$C$2:$C$500&gt;'Week 4 Schedule'!$E$2:$E$500))+SUMPRODUCT(--('Week 4 Schedule'!$B$2:$B$500=$F$28),--('Week 4 Schedule'!$D$2:$D$500=$A29),--('Week 4 Schedule'!$E$2:$E$500&gt;'Week 4 Schedule'!$C$2:$C$500)))+(SUMPRODUCT(--('Week 4 Schedule'!$G$2:$G$500=$A29),--('Week 4 Schedule'!$I$2:$I$500=$F$28),--('Week 4 Schedule'!$H$2:$H$500&gt;'Week 4 Schedule'!$J$2:$J$500))+SUMPRODUCT(--('Week 4 Schedule'!$G$2:$G$500=$F$28),--('Week 4 Schedule'!$I$2:$I$500=$A29),--('Week 4 Schedule'!$J$2:$J$500&gt;'Week 4 Schedule'!$H$2:$H$500)))+(SUMPRODUCT(--('Week 5 Schedule'!$B$2:$B$500=$A29),--('Week 5 Schedule'!$D$2:$D$500=$F$28),--('Week 5 Schedule'!$C$2:$C$500&gt;'Week 5 Schedule'!$E$2:$E$500))+SUMPRODUCT(--('Week 5 Schedule'!$B$2:$B$500=$F$28),--('Week 5 Schedule'!$D$2:$D$500=$A29),--('Week 5 Schedule'!$E$2:$E$500&gt;'Week 5 Schedule'!$C$2:$C$500)))+(SUMPRODUCT(--('Week 5 Schedule'!$G$2:$G$500=$A29),--('Week 5 Schedule'!$I$2:$I$500=$F$28),--('Week 5 Schedule'!$H$2:$H$500&gt;'Week 5 Schedule'!$J$2:$J$500))+SUMPRODUCT(--('Week 5 Schedule'!$G$2:$G$500=$F$28),--('Week 5 Schedule'!$I$2:$I$500=$A29),--('Week 5 Schedule'!$J$2:$J$500&gt;'Week 5 Schedule'!$H$2:$H$500)))+(SUMPRODUCT(--('Week 6 Schedule'!$B$2:$B$500=$A29),--('Week 6 Schedule'!$D$2:$D$500=$F$28),--('Week 6 Schedule'!$C$2:$C$500&gt;'Week 6 Schedule'!$E$2:$E$500))+SUMPRODUCT(--('Week 6 Schedule'!$B$2:$B$500=$F$28),--('Week 6 Schedule'!$D$2:$D$500=$A29),--('Week 6 Schedule'!$E$2:$E$500&gt;'Week 6 Schedule'!$C$2:$C$500)))+(SUMPRODUCT(--('Week 6 Schedule'!$G$2:$G$500=$A29),--('Week 6 Schedule'!$I$2:$I$500=$F$28),--('Week 6 Schedule'!$H$2:$H$500&gt;'Week 6 Schedule'!$J$2:$J$500))+SUMPRODUCT(--('Week 6 Schedule'!$G$2:$G$500=$F$28),--('Week 6 Schedule'!$I$2:$I$500=$A29),--('Week 6 Schedule'!$J$2:$J$500&gt;'Week 6 Schedule'!$H$2:$H$500)))</f>
        <v/>
      </c>
      <c r="G29" s="9">
        <f>(SUMPRODUCT(--('Week 1 Schedule'!$B$2:$B$500=$A29),--('Week 1 Schedule'!$D$2:$D$500=$G$28),--('Week 1 Schedule'!$C$2:$C$500&gt;'Week 1 Schedule'!$E$2:$E$500))+SUMPRODUCT(--('Week 1 Schedule'!$B$2:$B$500=$G$28),--('Week 1 Schedule'!$D$2:$D$500=$A29),--('Week 1 Schedule'!$E$2:$E$500&gt;'Week 1 Schedule'!$C$2:$C$500)))+(SUMPRODUCT(--('Week 1 Schedule'!$G$2:$G$500=$A29),--('Week 1 Schedule'!$I$2:$I$500=$G$28),--('Week 1 Schedule'!$H$2:$H$500&gt;'Week 1 Schedule'!$J$2:$J$500))+SUMPRODUCT(--('Week 1 Schedule'!$G$2:$G$500=$G$28),--('Week 1 Schedule'!$I$2:$I$500=$A29),--('Week 1 Schedule'!$J$2:$J$500&gt;'Week 1 Schedule'!$H$2:$H$500)))+(SUMPRODUCT(--('Week 2 Schedule'!$B$2:$B$500=$A29),--('Week 2 Schedule'!$D$2:$D$500=$G$28),--('Week 2 Schedule'!$C$2:$C$500&gt;'Week 2 Schedule'!$E$2:$E$500))+SUMPRODUCT(--('Week 2 Schedule'!$B$2:$B$500=$G$28),--('Week 2 Schedule'!$D$2:$D$500=$A29),--('Week 2 Schedule'!$E$2:$E$500&gt;'Week 2 Schedule'!$C$2:$C$500)))+(SUMPRODUCT(--('Week 2 Schedule'!$G$2:$G$500=$A29),--('Week 2 Schedule'!$I$2:$I$500=$G$28),--('Week 2 Schedule'!$H$2:$H$500&gt;'Week 2 Schedule'!$J$2:$J$500))+SUMPRODUCT(--('Week 2 Schedule'!$G$2:$G$500=$G$28),--('Week 2 Schedule'!$I$2:$I$500=$A29),--('Week 2 Schedule'!$J$2:$J$500&gt;'Week 2 Schedule'!$H$2:$H$500)))+(SUMPRODUCT(--('Week 3 Schedule'!$B$2:$B$500=$A29),--('Week 3 Schedule'!$D$2:$D$500=$G$28),--('Week 3 Schedule'!$C$2:$C$500&gt;'Week 3 Schedule'!$E$2:$E$500))+SUMPRODUCT(--('Week 3 Schedule'!$B$2:$B$500=$G$28),--('Week 3 Schedule'!$D$2:$D$500=$A29),--('Week 3 Schedule'!$E$2:$E$500&gt;'Week 3 Schedule'!$C$2:$C$500)))+(SUMPRODUCT(--('Week 3 Schedule'!$G$2:$G$500=$A29),--('Week 3 Schedule'!$I$2:$I$500=$G$28),--('Week 3 Schedule'!$H$2:$H$500&gt;'Week 3 Schedule'!$J$2:$J$500))+SUMPRODUCT(--('Week 3 Schedule'!$G$2:$G$500=$G$28),--('Week 3 Schedule'!$I$2:$I$500=$A29),--('Week 3 Schedule'!$J$2:$J$500&gt;'Week 3 Schedule'!$H$2:$H$500)))+(SUMPRODUCT(--('Week 4 Schedule'!$B$2:$B$500=$A29),--('Week 4 Schedule'!$D$2:$D$500=$G$28),--('Week 4 Schedule'!$C$2:$C$500&gt;'Week 4 Schedule'!$E$2:$E$500))+SUMPRODUCT(--('Week 4 Schedule'!$B$2:$B$500=$G$28),--('Week 4 Schedule'!$D$2:$D$500=$A29),--('Week 4 Schedule'!$E$2:$E$500&gt;'Week 4 Schedule'!$C$2:$C$500)))+(SUMPRODUCT(--('Week 4 Schedule'!$G$2:$G$500=$A29),--('Week 4 Schedule'!$I$2:$I$500=$G$28),--('Week 4 Schedule'!$H$2:$H$500&gt;'Week 4 Schedule'!$J$2:$J$500))+SUMPRODUCT(--('Week 4 Schedule'!$G$2:$G$500=$G$28),--('Week 4 Schedule'!$I$2:$I$500=$A29),--('Week 4 Schedule'!$J$2:$J$500&gt;'Week 4 Schedule'!$H$2:$H$500)))+(SUMPRODUCT(--('Week 5 Schedule'!$B$2:$B$500=$A29),--('Week 5 Schedule'!$D$2:$D$500=$G$28),--('Week 5 Schedule'!$C$2:$C$500&gt;'Week 5 Schedule'!$E$2:$E$500))+SUMPRODUCT(--('Week 5 Schedule'!$B$2:$B$500=$G$28),--('Week 5 Schedule'!$D$2:$D$500=$A29),--('Week 5 Schedule'!$E$2:$E$500&gt;'Week 5 Schedule'!$C$2:$C$500)))+(SUMPRODUCT(--('Week 5 Schedule'!$G$2:$G$500=$A29),--('Week 5 Schedule'!$I$2:$I$500=$G$28),--('Week 5 Schedule'!$H$2:$H$500&gt;'Week 5 Schedule'!$J$2:$J$500))+SUMPRODUCT(--('Week 5 Schedule'!$G$2:$G$500=$G$28),--('Week 5 Schedule'!$I$2:$I$500=$A29),--('Week 5 Schedule'!$J$2:$J$500&gt;'Week 5 Schedule'!$H$2:$H$500)))+(SUMPRODUCT(--('Week 6 Schedule'!$B$2:$B$500=$A29),--('Week 6 Schedule'!$D$2:$D$500=$G$28),--('Week 6 Schedule'!$C$2:$C$500&gt;'Week 6 Schedule'!$E$2:$E$500))+SUMPRODUCT(--('Week 6 Schedule'!$B$2:$B$500=$G$28),--('Week 6 Schedule'!$D$2:$D$500=$A29),--('Week 6 Schedule'!$E$2:$E$500&gt;'Week 6 Schedule'!$C$2:$C$500)))+(SUMPRODUCT(--('Week 6 Schedule'!$G$2:$G$500=$A29),--('Week 6 Schedule'!$I$2:$I$500=$G$28),--('Week 6 Schedule'!$H$2:$H$500&gt;'Week 6 Schedule'!$J$2:$J$500))+SUMPRODUCT(--('Week 6 Schedule'!$G$2:$G$500=$G$28),--('Week 6 Schedule'!$I$2:$I$500=$A29),--('Week 6 Schedule'!$J$2:$J$500&gt;'Week 6 Schedule'!$H$2:$H$500)))</f>
        <v/>
      </c>
      <c r="H29" s="9">
        <f>(SUMPRODUCT(--('Week 1 Schedule'!$B$2:$B$500=$A29),--('Week 1 Schedule'!$D$2:$D$500=$H$28),--('Week 1 Schedule'!$C$2:$C$500&gt;'Week 1 Schedule'!$E$2:$E$500))+SUMPRODUCT(--('Week 1 Schedule'!$B$2:$B$500=$H$28),--('Week 1 Schedule'!$D$2:$D$500=$A29),--('Week 1 Schedule'!$E$2:$E$500&gt;'Week 1 Schedule'!$C$2:$C$500)))+(SUMPRODUCT(--('Week 1 Schedule'!$G$2:$G$500=$A29),--('Week 1 Schedule'!$I$2:$I$500=$H$28),--('Week 1 Schedule'!$H$2:$H$500&gt;'Week 1 Schedule'!$J$2:$J$500))+SUMPRODUCT(--('Week 1 Schedule'!$G$2:$G$500=$H$28),--('Week 1 Schedule'!$I$2:$I$500=$A29),--('Week 1 Schedule'!$J$2:$J$500&gt;'Week 1 Schedule'!$H$2:$H$500)))+(SUMPRODUCT(--('Week 2 Schedule'!$B$2:$B$500=$A29),--('Week 2 Schedule'!$D$2:$D$500=$H$28),--('Week 2 Schedule'!$C$2:$C$500&gt;'Week 2 Schedule'!$E$2:$E$500))+SUMPRODUCT(--('Week 2 Schedule'!$B$2:$B$500=$H$28),--('Week 2 Schedule'!$D$2:$D$500=$A29),--('Week 2 Schedule'!$E$2:$E$500&gt;'Week 2 Schedule'!$C$2:$C$500)))+(SUMPRODUCT(--('Week 2 Schedule'!$G$2:$G$500=$A29),--('Week 2 Schedule'!$I$2:$I$500=$H$28),--('Week 2 Schedule'!$H$2:$H$500&gt;'Week 2 Schedule'!$J$2:$J$500))+SUMPRODUCT(--('Week 2 Schedule'!$G$2:$G$500=$H$28),--('Week 2 Schedule'!$I$2:$I$500=$A29),--('Week 2 Schedule'!$J$2:$J$500&gt;'Week 2 Schedule'!$H$2:$H$500)))+(SUMPRODUCT(--('Week 3 Schedule'!$B$2:$B$500=$A29),--('Week 3 Schedule'!$D$2:$D$500=$H$28),--('Week 3 Schedule'!$C$2:$C$500&gt;'Week 3 Schedule'!$E$2:$E$500))+SUMPRODUCT(--('Week 3 Schedule'!$B$2:$B$500=$H$28),--('Week 3 Schedule'!$D$2:$D$500=$A29),--('Week 3 Schedule'!$E$2:$E$500&gt;'Week 3 Schedule'!$C$2:$C$500)))+(SUMPRODUCT(--('Week 3 Schedule'!$G$2:$G$500=$A29),--('Week 3 Schedule'!$I$2:$I$500=$H$28),--('Week 3 Schedule'!$H$2:$H$500&gt;'Week 3 Schedule'!$J$2:$J$500))+SUMPRODUCT(--('Week 3 Schedule'!$G$2:$G$500=$H$28),--('Week 3 Schedule'!$I$2:$I$500=$A29),--('Week 3 Schedule'!$J$2:$J$500&gt;'Week 3 Schedule'!$H$2:$H$500)))+(SUMPRODUCT(--('Week 4 Schedule'!$B$2:$B$500=$A29),--('Week 4 Schedule'!$D$2:$D$500=$H$28),--('Week 4 Schedule'!$C$2:$C$500&gt;'Week 4 Schedule'!$E$2:$E$500))+SUMPRODUCT(--('Week 4 Schedule'!$B$2:$B$500=$H$28),--('Week 4 Schedule'!$D$2:$D$500=$A29),--('Week 4 Schedule'!$E$2:$E$500&gt;'Week 4 Schedule'!$C$2:$C$500)))+(SUMPRODUCT(--('Week 4 Schedule'!$G$2:$G$500=$A29),--('Week 4 Schedule'!$I$2:$I$500=$H$28),--('Week 4 Schedule'!$H$2:$H$500&gt;'Week 4 Schedule'!$J$2:$J$500))+SUMPRODUCT(--('Week 4 Schedule'!$G$2:$G$500=$H$28),--('Week 4 Schedule'!$I$2:$I$500=$A29),--('Week 4 Schedule'!$J$2:$J$500&gt;'Week 4 Schedule'!$H$2:$H$500)))+(SUMPRODUCT(--('Week 5 Schedule'!$B$2:$B$500=$A29),--('Week 5 Schedule'!$D$2:$D$500=$H$28),--('Week 5 Schedule'!$C$2:$C$500&gt;'Week 5 Schedule'!$E$2:$E$500))+SUMPRODUCT(--('Week 5 Schedule'!$B$2:$B$500=$H$28),--('Week 5 Schedule'!$D$2:$D$500=$A29),--('Week 5 Schedule'!$E$2:$E$500&gt;'Week 5 Schedule'!$C$2:$C$500)))+(SUMPRODUCT(--('Week 5 Schedule'!$G$2:$G$500=$A29),--('Week 5 Schedule'!$I$2:$I$500=$H$28),--('Week 5 Schedule'!$H$2:$H$500&gt;'Week 5 Schedule'!$J$2:$J$500))+SUMPRODUCT(--('Week 5 Schedule'!$G$2:$G$500=$H$28),--('Week 5 Schedule'!$I$2:$I$500=$A29),--('Week 5 Schedule'!$J$2:$J$500&gt;'Week 5 Schedule'!$H$2:$H$500)))+(SUMPRODUCT(--('Week 6 Schedule'!$B$2:$B$500=$A29),--('Week 6 Schedule'!$D$2:$D$500=$H$28),--('Week 6 Schedule'!$C$2:$C$500&gt;'Week 6 Schedule'!$E$2:$E$500))+SUMPRODUCT(--('Week 6 Schedule'!$B$2:$B$500=$H$28),--('Week 6 Schedule'!$D$2:$D$500=$A29),--('Week 6 Schedule'!$E$2:$E$500&gt;'Week 6 Schedule'!$C$2:$C$500)))+(SUMPRODUCT(--('Week 6 Schedule'!$G$2:$G$500=$A29),--('Week 6 Schedule'!$I$2:$I$500=$H$28),--('Week 6 Schedule'!$H$2:$H$500&gt;'Week 6 Schedule'!$J$2:$J$500))+SUMPRODUCT(--('Week 6 Schedule'!$G$2:$G$500=$H$28),--('Week 6 Schedule'!$I$2:$I$500=$A29),--('Week 6 Schedule'!$J$2:$J$500&gt;'Week 6 Schedule'!$H$2:$H$500)))</f>
        <v/>
      </c>
      <c r="I29" s="9">
        <f>(SUMPRODUCT(--('Week 1 Schedule'!$B$2:$B$500=$A29),--('Week 1 Schedule'!$D$2:$D$500=$I$28),--('Week 1 Schedule'!$C$2:$C$500&gt;'Week 1 Schedule'!$E$2:$E$500))+SUMPRODUCT(--('Week 1 Schedule'!$B$2:$B$500=$I$28),--('Week 1 Schedule'!$D$2:$D$500=$A29),--('Week 1 Schedule'!$E$2:$E$500&gt;'Week 1 Schedule'!$C$2:$C$500)))+(SUMPRODUCT(--('Week 1 Schedule'!$G$2:$G$500=$A29),--('Week 1 Schedule'!$I$2:$I$500=$I$28),--('Week 1 Schedule'!$H$2:$H$500&gt;'Week 1 Schedule'!$J$2:$J$500))+SUMPRODUCT(--('Week 1 Schedule'!$G$2:$G$500=$I$28),--('Week 1 Schedule'!$I$2:$I$500=$A29),--('Week 1 Schedule'!$J$2:$J$500&gt;'Week 1 Schedule'!$H$2:$H$500)))+(SUMPRODUCT(--('Week 2 Schedule'!$B$2:$B$500=$A29),--('Week 2 Schedule'!$D$2:$D$500=$I$28),--('Week 2 Schedule'!$C$2:$C$500&gt;'Week 2 Schedule'!$E$2:$E$500))+SUMPRODUCT(--('Week 2 Schedule'!$B$2:$B$500=$I$28),--('Week 2 Schedule'!$D$2:$D$500=$A29),--('Week 2 Schedule'!$E$2:$E$500&gt;'Week 2 Schedule'!$C$2:$C$500)))+(SUMPRODUCT(--('Week 2 Schedule'!$G$2:$G$500=$A29),--('Week 2 Schedule'!$I$2:$I$500=$I$28),--('Week 2 Schedule'!$H$2:$H$500&gt;'Week 2 Schedule'!$J$2:$J$500))+SUMPRODUCT(--('Week 2 Schedule'!$G$2:$G$500=$I$28),--('Week 2 Schedule'!$I$2:$I$500=$A29),--('Week 2 Schedule'!$J$2:$J$500&gt;'Week 2 Schedule'!$H$2:$H$500)))+(SUMPRODUCT(--('Week 3 Schedule'!$B$2:$B$500=$A29),--('Week 3 Schedule'!$D$2:$D$500=$I$28),--('Week 3 Schedule'!$C$2:$C$500&gt;'Week 3 Schedule'!$E$2:$E$500))+SUMPRODUCT(--('Week 3 Schedule'!$B$2:$B$500=$I$28),--('Week 3 Schedule'!$D$2:$D$500=$A29),--('Week 3 Schedule'!$E$2:$E$500&gt;'Week 3 Schedule'!$C$2:$C$500)))+(SUMPRODUCT(--('Week 3 Schedule'!$G$2:$G$500=$A29),--('Week 3 Schedule'!$I$2:$I$500=$I$28),--('Week 3 Schedule'!$H$2:$H$500&gt;'Week 3 Schedule'!$J$2:$J$500))+SUMPRODUCT(--('Week 3 Schedule'!$G$2:$G$500=$I$28),--('Week 3 Schedule'!$I$2:$I$500=$A29),--('Week 3 Schedule'!$J$2:$J$500&gt;'Week 3 Schedule'!$H$2:$H$500)))+(SUMPRODUCT(--('Week 4 Schedule'!$B$2:$B$500=$A29),--('Week 4 Schedule'!$D$2:$D$500=$I$28),--('Week 4 Schedule'!$C$2:$C$500&gt;'Week 4 Schedule'!$E$2:$E$500))+SUMPRODUCT(--('Week 4 Schedule'!$B$2:$B$500=$I$28),--('Week 4 Schedule'!$D$2:$D$500=$A29),--('Week 4 Schedule'!$E$2:$E$500&gt;'Week 4 Schedule'!$C$2:$C$500)))+(SUMPRODUCT(--('Week 4 Schedule'!$G$2:$G$500=$A29),--('Week 4 Schedule'!$I$2:$I$500=$I$28),--('Week 4 Schedule'!$H$2:$H$500&gt;'Week 4 Schedule'!$J$2:$J$500))+SUMPRODUCT(--('Week 4 Schedule'!$G$2:$G$500=$I$28),--('Week 4 Schedule'!$I$2:$I$500=$A29),--('Week 4 Schedule'!$J$2:$J$500&gt;'Week 4 Schedule'!$H$2:$H$500)))+(SUMPRODUCT(--('Week 5 Schedule'!$B$2:$B$500=$A29),--('Week 5 Schedule'!$D$2:$D$500=$I$28),--('Week 5 Schedule'!$C$2:$C$500&gt;'Week 5 Schedule'!$E$2:$E$500))+SUMPRODUCT(--('Week 5 Schedule'!$B$2:$B$500=$I$28),--('Week 5 Schedule'!$D$2:$D$500=$A29),--('Week 5 Schedule'!$E$2:$E$500&gt;'Week 5 Schedule'!$C$2:$C$500)))+(SUMPRODUCT(--('Week 5 Schedule'!$G$2:$G$500=$A29),--('Week 5 Schedule'!$I$2:$I$500=$I$28),--('Week 5 Schedule'!$H$2:$H$500&gt;'Week 5 Schedule'!$J$2:$J$500))+SUMPRODUCT(--('Week 5 Schedule'!$G$2:$G$500=$I$28),--('Week 5 Schedule'!$I$2:$I$500=$A29),--('Week 5 Schedule'!$J$2:$J$500&gt;'Week 5 Schedule'!$H$2:$H$500)))+(SUMPRODUCT(--('Week 6 Schedule'!$B$2:$B$500=$A29),--('Week 6 Schedule'!$D$2:$D$500=$I$28),--('Week 6 Schedule'!$C$2:$C$500&gt;'Week 6 Schedule'!$E$2:$E$500))+SUMPRODUCT(--('Week 6 Schedule'!$B$2:$B$500=$I$28),--('Week 6 Schedule'!$D$2:$D$500=$A29),--('Week 6 Schedule'!$E$2:$E$500&gt;'Week 6 Schedule'!$C$2:$C$500)))+(SUMPRODUCT(--('Week 6 Schedule'!$G$2:$G$500=$A29),--('Week 6 Schedule'!$I$2:$I$500=$I$28),--('Week 6 Schedule'!$H$2:$H$500&gt;'Week 6 Schedule'!$J$2:$J$500))+SUMPRODUCT(--('Week 6 Schedule'!$G$2:$G$500=$I$28),--('Week 6 Schedule'!$I$2:$I$500=$A29),--('Week 6 Schedule'!$J$2:$J$500&gt;'Week 6 Schedule'!$H$2:$H$500)))</f>
        <v/>
      </c>
      <c r="J29" s="9" t="n"/>
      <c r="K29" s="9" t="n"/>
      <c r="L29" s="9" t="n"/>
      <c r="M29" s="9" t="n"/>
    </row>
    <row r="30">
      <c r="A30" s="9" t="inlineStr">
        <is>
          <t>Team 2</t>
        </is>
      </c>
      <c r="B30" s="9">
        <f>(SUMPRODUCT(--('Week 1 Schedule'!$B$2:$B$500=$A30),--('Week 1 Schedule'!$D$2:$D$500=$B$28),--('Week 1 Schedule'!$C$2:$C$500&gt;'Week 1 Schedule'!$E$2:$E$500))+SUMPRODUCT(--('Week 1 Schedule'!$B$2:$B$500=$B$28),--('Week 1 Schedule'!$D$2:$D$500=$A30),--('Week 1 Schedule'!$E$2:$E$500&gt;'Week 1 Schedule'!$C$2:$C$500)))+(SUMPRODUCT(--('Week 1 Schedule'!$G$2:$G$500=$A30),--('Week 1 Schedule'!$I$2:$I$500=$B$28),--('Week 1 Schedule'!$H$2:$H$500&gt;'Week 1 Schedule'!$J$2:$J$500))+SUMPRODUCT(--('Week 1 Schedule'!$G$2:$G$500=$B$28),--('Week 1 Schedule'!$I$2:$I$500=$A30),--('Week 1 Schedule'!$J$2:$J$500&gt;'Week 1 Schedule'!$H$2:$H$500)))+(SUMPRODUCT(--('Week 2 Schedule'!$B$2:$B$500=$A30),--('Week 2 Schedule'!$D$2:$D$500=$B$28),--('Week 2 Schedule'!$C$2:$C$500&gt;'Week 2 Schedule'!$E$2:$E$500))+SUMPRODUCT(--('Week 2 Schedule'!$B$2:$B$500=$B$28),--('Week 2 Schedule'!$D$2:$D$500=$A30),--('Week 2 Schedule'!$E$2:$E$500&gt;'Week 2 Schedule'!$C$2:$C$500)))+(SUMPRODUCT(--('Week 2 Schedule'!$G$2:$G$500=$A30),--('Week 2 Schedule'!$I$2:$I$500=$B$28),--('Week 2 Schedule'!$H$2:$H$500&gt;'Week 2 Schedule'!$J$2:$J$500))+SUMPRODUCT(--('Week 2 Schedule'!$G$2:$G$500=$B$28),--('Week 2 Schedule'!$I$2:$I$500=$A30),--('Week 2 Schedule'!$J$2:$J$500&gt;'Week 2 Schedule'!$H$2:$H$500)))+(SUMPRODUCT(--('Week 3 Schedule'!$B$2:$B$500=$A30),--('Week 3 Schedule'!$D$2:$D$500=$B$28),--('Week 3 Schedule'!$C$2:$C$500&gt;'Week 3 Schedule'!$E$2:$E$500))+SUMPRODUCT(--('Week 3 Schedule'!$B$2:$B$500=$B$28),--('Week 3 Schedule'!$D$2:$D$500=$A30),--('Week 3 Schedule'!$E$2:$E$500&gt;'Week 3 Schedule'!$C$2:$C$500)))+(SUMPRODUCT(--('Week 3 Schedule'!$G$2:$G$500=$A30),--('Week 3 Schedule'!$I$2:$I$500=$B$28),--('Week 3 Schedule'!$H$2:$H$500&gt;'Week 3 Schedule'!$J$2:$J$500))+SUMPRODUCT(--('Week 3 Schedule'!$G$2:$G$500=$B$28),--('Week 3 Schedule'!$I$2:$I$500=$A30),--('Week 3 Schedule'!$J$2:$J$500&gt;'Week 3 Schedule'!$H$2:$H$500)))+(SUMPRODUCT(--('Week 4 Schedule'!$B$2:$B$500=$A30),--('Week 4 Schedule'!$D$2:$D$500=$B$28),--('Week 4 Schedule'!$C$2:$C$500&gt;'Week 4 Schedule'!$E$2:$E$500))+SUMPRODUCT(--('Week 4 Schedule'!$B$2:$B$500=$B$28),--('Week 4 Schedule'!$D$2:$D$500=$A30),--('Week 4 Schedule'!$E$2:$E$500&gt;'Week 4 Schedule'!$C$2:$C$500)))+(SUMPRODUCT(--('Week 4 Schedule'!$G$2:$G$500=$A30),--('Week 4 Schedule'!$I$2:$I$500=$B$28),--('Week 4 Schedule'!$H$2:$H$500&gt;'Week 4 Schedule'!$J$2:$J$500))+SUMPRODUCT(--('Week 4 Schedule'!$G$2:$G$500=$B$28),--('Week 4 Schedule'!$I$2:$I$500=$A30),--('Week 4 Schedule'!$J$2:$J$500&gt;'Week 4 Schedule'!$H$2:$H$500)))+(SUMPRODUCT(--('Week 5 Schedule'!$B$2:$B$500=$A30),--('Week 5 Schedule'!$D$2:$D$500=$B$28),--('Week 5 Schedule'!$C$2:$C$500&gt;'Week 5 Schedule'!$E$2:$E$500))+SUMPRODUCT(--('Week 5 Schedule'!$B$2:$B$500=$B$28),--('Week 5 Schedule'!$D$2:$D$500=$A30),--('Week 5 Schedule'!$E$2:$E$500&gt;'Week 5 Schedule'!$C$2:$C$500)))+(SUMPRODUCT(--('Week 5 Schedule'!$G$2:$G$500=$A30),--('Week 5 Schedule'!$I$2:$I$500=$B$28),--('Week 5 Schedule'!$H$2:$H$500&gt;'Week 5 Schedule'!$J$2:$J$500))+SUMPRODUCT(--('Week 5 Schedule'!$G$2:$G$500=$B$28),--('Week 5 Schedule'!$I$2:$I$500=$A30),--('Week 5 Schedule'!$J$2:$J$500&gt;'Week 5 Schedule'!$H$2:$H$500)))+(SUMPRODUCT(--('Week 6 Schedule'!$B$2:$B$500=$A30),--('Week 6 Schedule'!$D$2:$D$500=$B$28),--('Week 6 Schedule'!$C$2:$C$500&gt;'Week 6 Schedule'!$E$2:$E$500))+SUMPRODUCT(--('Week 6 Schedule'!$B$2:$B$500=$B$28),--('Week 6 Schedule'!$D$2:$D$500=$A30),--('Week 6 Schedule'!$E$2:$E$500&gt;'Week 6 Schedule'!$C$2:$C$500)))+(SUMPRODUCT(--('Week 6 Schedule'!$G$2:$G$500=$A30),--('Week 6 Schedule'!$I$2:$I$500=$B$28),--('Week 6 Schedule'!$H$2:$H$500&gt;'Week 6 Schedule'!$J$2:$J$500))+SUMPRODUCT(--('Week 6 Schedule'!$G$2:$G$500=$B$28),--('Week 6 Schedule'!$I$2:$I$500=$A30),--('Week 6 Schedule'!$J$2:$J$500&gt;'Week 6 Schedule'!$H$2:$H$500)))</f>
        <v/>
      </c>
      <c r="C30" s="9" t="inlineStr">
        <is>
          <t>—</t>
        </is>
      </c>
      <c r="D30" s="9">
        <f>(SUMPRODUCT(--('Week 1 Schedule'!$B$2:$B$500=$A30),--('Week 1 Schedule'!$D$2:$D$500=$D$28),--('Week 1 Schedule'!$C$2:$C$500&gt;'Week 1 Schedule'!$E$2:$E$500))+SUMPRODUCT(--('Week 1 Schedule'!$B$2:$B$500=$D$28),--('Week 1 Schedule'!$D$2:$D$500=$A30),--('Week 1 Schedule'!$E$2:$E$500&gt;'Week 1 Schedule'!$C$2:$C$500)))+(SUMPRODUCT(--('Week 1 Schedule'!$G$2:$G$500=$A30),--('Week 1 Schedule'!$I$2:$I$500=$D$28),--('Week 1 Schedule'!$H$2:$H$500&gt;'Week 1 Schedule'!$J$2:$J$500))+SUMPRODUCT(--('Week 1 Schedule'!$G$2:$G$500=$D$28),--('Week 1 Schedule'!$I$2:$I$500=$A30),--('Week 1 Schedule'!$J$2:$J$500&gt;'Week 1 Schedule'!$H$2:$H$500)))+(SUMPRODUCT(--('Week 2 Schedule'!$B$2:$B$500=$A30),--('Week 2 Schedule'!$D$2:$D$500=$D$28),--('Week 2 Schedule'!$C$2:$C$500&gt;'Week 2 Schedule'!$E$2:$E$500))+SUMPRODUCT(--('Week 2 Schedule'!$B$2:$B$500=$D$28),--('Week 2 Schedule'!$D$2:$D$500=$A30),--('Week 2 Schedule'!$E$2:$E$500&gt;'Week 2 Schedule'!$C$2:$C$500)))+(SUMPRODUCT(--('Week 2 Schedule'!$G$2:$G$500=$A30),--('Week 2 Schedule'!$I$2:$I$500=$D$28),--('Week 2 Schedule'!$H$2:$H$500&gt;'Week 2 Schedule'!$J$2:$J$500))+SUMPRODUCT(--('Week 2 Schedule'!$G$2:$G$500=$D$28),--('Week 2 Schedule'!$I$2:$I$500=$A30),--('Week 2 Schedule'!$J$2:$J$500&gt;'Week 2 Schedule'!$H$2:$H$500)))+(SUMPRODUCT(--('Week 3 Schedule'!$B$2:$B$500=$A30),--('Week 3 Schedule'!$D$2:$D$500=$D$28),--('Week 3 Schedule'!$C$2:$C$500&gt;'Week 3 Schedule'!$E$2:$E$500))+SUMPRODUCT(--('Week 3 Schedule'!$B$2:$B$500=$D$28),--('Week 3 Schedule'!$D$2:$D$500=$A30),--('Week 3 Schedule'!$E$2:$E$500&gt;'Week 3 Schedule'!$C$2:$C$500)))+(SUMPRODUCT(--('Week 3 Schedule'!$G$2:$G$500=$A30),--('Week 3 Schedule'!$I$2:$I$500=$D$28),--('Week 3 Schedule'!$H$2:$H$500&gt;'Week 3 Schedule'!$J$2:$J$500))+SUMPRODUCT(--('Week 3 Schedule'!$G$2:$G$500=$D$28),--('Week 3 Schedule'!$I$2:$I$500=$A30),--('Week 3 Schedule'!$J$2:$J$500&gt;'Week 3 Schedule'!$H$2:$H$500)))+(SUMPRODUCT(--('Week 4 Schedule'!$B$2:$B$500=$A30),--('Week 4 Schedule'!$D$2:$D$500=$D$28),--('Week 4 Schedule'!$C$2:$C$500&gt;'Week 4 Schedule'!$E$2:$E$500))+SUMPRODUCT(--('Week 4 Schedule'!$B$2:$B$500=$D$28),--('Week 4 Schedule'!$D$2:$D$500=$A30),--('Week 4 Schedule'!$E$2:$E$500&gt;'Week 4 Schedule'!$C$2:$C$500)))+(SUMPRODUCT(--('Week 4 Schedule'!$G$2:$G$500=$A30),--('Week 4 Schedule'!$I$2:$I$500=$D$28),--('Week 4 Schedule'!$H$2:$H$500&gt;'Week 4 Schedule'!$J$2:$J$500))+SUMPRODUCT(--('Week 4 Schedule'!$G$2:$G$500=$D$28),--('Week 4 Schedule'!$I$2:$I$500=$A30),--('Week 4 Schedule'!$J$2:$J$500&gt;'Week 4 Schedule'!$H$2:$H$500)))+(SUMPRODUCT(--('Week 5 Schedule'!$B$2:$B$500=$A30),--('Week 5 Schedule'!$D$2:$D$500=$D$28),--('Week 5 Schedule'!$C$2:$C$500&gt;'Week 5 Schedule'!$E$2:$E$500))+SUMPRODUCT(--('Week 5 Schedule'!$B$2:$B$500=$D$28),--('Week 5 Schedule'!$D$2:$D$500=$A30),--('Week 5 Schedule'!$E$2:$E$500&gt;'Week 5 Schedule'!$C$2:$C$500)))+(SUMPRODUCT(--('Week 5 Schedule'!$G$2:$G$500=$A30),--('Week 5 Schedule'!$I$2:$I$500=$D$28),--('Week 5 Schedule'!$H$2:$H$500&gt;'Week 5 Schedule'!$J$2:$J$500))+SUMPRODUCT(--('Week 5 Schedule'!$G$2:$G$500=$D$28),--('Week 5 Schedule'!$I$2:$I$500=$A30),--('Week 5 Schedule'!$J$2:$J$500&gt;'Week 5 Schedule'!$H$2:$H$500)))+(SUMPRODUCT(--('Week 6 Schedule'!$B$2:$B$500=$A30),--('Week 6 Schedule'!$D$2:$D$500=$D$28),--('Week 6 Schedule'!$C$2:$C$500&gt;'Week 6 Schedule'!$E$2:$E$500))+SUMPRODUCT(--('Week 6 Schedule'!$B$2:$B$500=$D$28),--('Week 6 Schedule'!$D$2:$D$500=$A30),--('Week 6 Schedule'!$E$2:$E$500&gt;'Week 6 Schedule'!$C$2:$C$500)))+(SUMPRODUCT(--('Week 6 Schedule'!$G$2:$G$500=$A30),--('Week 6 Schedule'!$I$2:$I$500=$D$28),--('Week 6 Schedule'!$H$2:$H$500&gt;'Week 6 Schedule'!$J$2:$J$500))+SUMPRODUCT(--('Week 6 Schedule'!$G$2:$G$500=$D$28),--('Week 6 Schedule'!$I$2:$I$500=$A30),--('Week 6 Schedule'!$J$2:$J$500&gt;'Week 6 Schedule'!$H$2:$H$500)))</f>
        <v/>
      </c>
      <c r="E30" s="9">
        <f>(SUMPRODUCT(--('Week 1 Schedule'!$B$2:$B$500=$A30),--('Week 1 Schedule'!$D$2:$D$500=$E$28),--('Week 1 Schedule'!$C$2:$C$500&gt;'Week 1 Schedule'!$E$2:$E$500))+SUMPRODUCT(--('Week 1 Schedule'!$B$2:$B$500=$E$28),--('Week 1 Schedule'!$D$2:$D$500=$A30),--('Week 1 Schedule'!$E$2:$E$500&gt;'Week 1 Schedule'!$C$2:$C$500)))+(SUMPRODUCT(--('Week 1 Schedule'!$G$2:$G$500=$A30),--('Week 1 Schedule'!$I$2:$I$500=$E$28),--('Week 1 Schedule'!$H$2:$H$500&gt;'Week 1 Schedule'!$J$2:$J$500))+SUMPRODUCT(--('Week 1 Schedule'!$G$2:$G$500=$E$28),--('Week 1 Schedule'!$I$2:$I$500=$A30),--('Week 1 Schedule'!$J$2:$J$500&gt;'Week 1 Schedule'!$H$2:$H$500)))+(SUMPRODUCT(--('Week 2 Schedule'!$B$2:$B$500=$A30),--('Week 2 Schedule'!$D$2:$D$500=$E$28),--('Week 2 Schedule'!$C$2:$C$500&gt;'Week 2 Schedule'!$E$2:$E$500))+SUMPRODUCT(--('Week 2 Schedule'!$B$2:$B$500=$E$28),--('Week 2 Schedule'!$D$2:$D$500=$A30),--('Week 2 Schedule'!$E$2:$E$500&gt;'Week 2 Schedule'!$C$2:$C$500)))+(SUMPRODUCT(--('Week 2 Schedule'!$G$2:$G$500=$A30),--('Week 2 Schedule'!$I$2:$I$500=$E$28),--('Week 2 Schedule'!$H$2:$H$500&gt;'Week 2 Schedule'!$J$2:$J$500))+SUMPRODUCT(--('Week 2 Schedule'!$G$2:$G$500=$E$28),--('Week 2 Schedule'!$I$2:$I$500=$A30),--('Week 2 Schedule'!$J$2:$J$500&gt;'Week 2 Schedule'!$H$2:$H$500)))+(SUMPRODUCT(--('Week 3 Schedule'!$B$2:$B$500=$A30),--('Week 3 Schedule'!$D$2:$D$500=$E$28),--('Week 3 Schedule'!$C$2:$C$500&gt;'Week 3 Schedule'!$E$2:$E$500))+SUMPRODUCT(--('Week 3 Schedule'!$B$2:$B$500=$E$28),--('Week 3 Schedule'!$D$2:$D$500=$A30),--('Week 3 Schedule'!$E$2:$E$500&gt;'Week 3 Schedule'!$C$2:$C$500)))+(SUMPRODUCT(--('Week 3 Schedule'!$G$2:$G$500=$A30),--('Week 3 Schedule'!$I$2:$I$500=$E$28),--('Week 3 Schedule'!$H$2:$H$500&gt;'Week 3 Schedule'!$J$2:$J$500))+SUMPRODUCT(--('Week 3 Schedule'!$G$2:$G$500=$E$28),--('Week 3 Schedule'!$I$2:$I$500=$A30),--('Week 3 Schedule'!$J$2:$J$500&gt;'Week 3 Schedule'!$H$2:$H$500)))+(SUMPRODUCT(--('Week 4 Schedule'!$B$2:$B$500=$A30),--('Week 4 Schedule'!$D$2:$D$500=$E$28),--('Week 4 Schedule'!$C$2:$C$500&gt;'Week 4 Schedule'!$E$2:$E$500))+SUMPRODUCT(--('Week 4 Schedule'!$B$2:$B$500=$E$28),--('Week 4 Schedule'!$D$2:$D$500=$A30),--('Week 4 Schedule'!$E$2:$E$500&gt;'Week 4 Schedule'!$C$2:$C$500)))+(SUMPRODUCT(--('Week 4 Schedule'!$G$2:$G$500=$A30),--('Week 4 Schedule'!$I$2:$I$500=$E$28),--('Week 4 Schedule'!$H$2:$H$500&gt;'Week 4 Schedule'!$J$2:$J$500))+SUMPRODUCT(--('Week 4 Schedule'!$G$2:$G$500=$E$28),--('Week 4 Schedule'!$I$2:$I$500=$A30),--('Week 4 Schedule'!$J$2:$J$500&gt;'Week 4 Schedule'!$H$2:$H$500)))+(SUMPRODUCT(--('Week 5 Schedule'!$B$2:$B$500=$A30),--('Week 5 Schedule'!$D$2:$D$500=$E$28),--('Week 5 Schedule'!$C$2:$C$500&gt;'Week 5 Schedule'!$E$2:$E$500))+SUMPRODUCT(--('Week 5 Schedule'!$B$2:$B$500=$E$28),--('Week 5 Schedule'!$D$2:$D$500=$A30),--('Week 5 Schedule'!$E$2:$E$500&gt;'Week 5 Schedule'!$C$2:$C$500)))+(SUMPRODUCT(--('Week 5 Schedule'!$G$2:$G$500=$A30),--('Week 5 Schedule'!$I$2:$I$500=$E$28),--('Week 5 Schedule'!$H$2:$H$500&gt;'Week 5 Schedule'!$J$2:$J$500))+SUMPRODUCT(--('Week 5 Schedule'!$G$2:$G$500=$E$28),--('Week 5 Schedule'!$I$2:$I$500=$A30),--('Week 5 Schedule'!$J$2:$J$500&gt;'Week 5 Schedule'!$H$2:$H$500)))+(SUMPRODUCT(--('Week 6 Schedule'!$B$2:$B$500=$A30),--('Week 6 Schedule'!$D$2:$D$500=$E$28),--('Week 6 Schedule'!$C$2:$C$500&gt;'Week 6 Schedule'!$E$2:$E$500))+SUMPRODUCT(--('Week 6 Schedule'!$B$2:$B$500=$E$28),--('Week 6 Schedule'!$D$2:$D$500=$A30),--('Week 6 Schedule'!$E$2:$E$500&gt;'Week 6 Schedule'!$C$2:$C$500)))+(SUMPRODUCT(--('Week 6 Schedule'!$G$2:$G$500=$A30),--('Week 6 Schedule'!$I$2:$I$500=$E$28),--('Week 6 Schedule'!$H$2:$H$500&gt;'Week 6 Schedule'!$J$2:$J$500))+SUMPRODUCT(--('Week 6 Schedule'!$G$2:$G$500=$E$28),--('Week 6 Schedule'!$I$2:$I$500=$A30),--('Week 6 Schedule'!$J$2:$J$500&gt;'Week 6 Schedule'!$H$2:$H$500)))</f>
        <v/>
      </c>
      <c r="F30" s="9">
        <f>(SUMPRODUCT(--('Week 1 Schedule'!$B$2:$B$500=$A30),--('Week 1 Schedule'!$D$2:$D$500=$F$28),--('Week 1 Schedule'!$C$2:$C$500&gt;'Week 1 Schedule'!$E$2:$E$500))+SUMPRODUCT(--('Week 1 Schedule'!$B$2:$B$500=$F$28),--('Week 1 Schedule'!$D$2:$D$500=$A30),--('Week 1 Schedule'!$E$2:$E$500&gt;'Week 1 Schedule'!$C$2:$C$500)))+(SUMPRODUCT(--('Week 1 Schedule'!$G$2:$G$500=$A30),--('Week 1 Schedule'!$I$2:$I$500=$F$28),--('Week 1 Schedule'!$H$2:$H$500&gt;'Week 1 Schedule'!$J$2:$J$500))+SUMPRODUCT(--('Week 1 Schedule'!$G$2:$G$500=$F$28),--('Week 1 Schedule'!$I$2:$I$500=$A30),--('Week 1 Schedule'!$J$2:$J$500&gt;'Week 1 Schedule'!$H$2:$H$500)))+(SUMPRODUCT(--('Week 2 Schedule'!$B$2:$B$500=$A30),--('Week 2 Schedule'!$D$2:$D$500=$F$28),--('Week 2 Schedule'!$C$2:$C$500&gt;'Week 2 Schedule'!$E$2:$E$500))+SUMPRODUCT(--('Week 2 Schedule'!$B$2:$B$500=$F$28),--('Week 2 Schedule'!$D$2:$D$500=$A30),--('Week 2 Schedule'!$E$2:$E$500&gt;'Week 2 Schedule'!$C$2:$C$500)))+(SUMPRODUCT(--('Week 2 Schedule'!$G$2:$G$500=$A30),--('Week 2 Schedule'!$I$2:$I$500=$F$28),--('Week 2 Schedule'!$H$2:$H$500&gt;'Week 2 Schedule'!$J$2:$J$500))+SUMPRODUCT(--('Week 2 Schedule'!$G$2:$G$500=$F$28),--('Week 2 Schedule'!$I$2:$I$500=$A30),--('Week 2 Schedule'!$J$2:$J$500&gt;'Week 2 Schedule'!$H$2:$H$500)))+(SUMPRODUCT(--('Week 3 Schedule'!$B$2:$B$500=$A30),--('Week 3 Schedule'!$D$2:$D$500=$F$28),--('Week 3 Schedule'!$C$2:$C$500&gt;'Week 3 Schedule'!$E$2:$E$500))+SUMPRODUCT(--('Week 3 Schedule'!$B$2:$B$500=$F$28),--('Week 3 Schedule'!$D$2:$D$500=$A30),--('Week 3 Schedule'!$E$2:$E$500&gt;'Week 3 Schedule'!$C$2:$C$500)))+(SUMPRODUCT(--('Week 3 Schedule'!$G$2:$G$500=$A30),--('Week 3 Schedule'!$I$2:$I$500=$F$28),--('Week 3 Schedule'!$H$2:$H$500&gt;'Week 3 Schedule'!$J$2:$J$500))+SUMPRODUCT(--('Week 3 Schedule'!$G$2:$G$500=$F$28),--('Week 3 Schedule'!$I$2:$I$500=$A30),--('Week 3 Schedule'!$J$2:$J$500&gt;'Week 3 Schedule'!$H$2:$H$500)))+(SUMPRODUCT(--('Week 4 Schedule'!$B$2:$B$500=$A30),--('Week 4 Schedule'!$D$2:$D$500=$F$28),--('Week 4 Schedule'!$C$2:$C$500&gt;'Week 4 Schedule'!$E$2:$E$500))+SUMPRODUCT(--('Week 4 Schedule'!$B$2:$B$500=$F$28),--('Week 4 Schedule'!$D$2:$D$500=$A30),--('Week 4 Schedule'!$E$2:$E$500&gt;'Week 4 Schedule'!$C$2:$C$500)))+(SUMPRODUCT(--('Week 4 Schedule'!$G$2:$G$500=$A30),--('Week 4 Schedule'!$I$2:$I$500=$F$28),--('Week 4 Schedule'!$H$2:$H$500&gt;'Week 4 Schedule'!$J$2:$J$500))+SUMPRODUCT(--('Week 4 Schedule'!$G$2:$G$500=$F$28),--('Week 4 Schedule'!$I$2:$I$500=$A30),--('Week 4 Schedule'!$J$2:$J$500&gt;'Week 4 Schedule'!$H$2:$H$500)))+(SUMPRODUCT(--('Week 5 Schedule'!$B$2:$B$500=$A30),--('Week 5 Schedule'!$D$2:$D$500=$F$28),--('Week 5 Schedule'!$C$2:$C$500&gt;'Week 5 Schedule'!$E$2:$E$500))+SUMPRODUCT(--('Week 5 Schedule'!$B$2:$B$500=$F$28),--('Week 5 Schedule'!$D$2:$D$500=$A30),--('Week 5 Schedule'!$E$2:$E$500&gt;'Week 5 Schedule'!$C$2:$C$500)))+(SUMPRODUCT(--('Week 5 Schedule'!$G$2:$G$500=$A30),--('Week 5 Schedule'!$I$2:$I$500=$F$28),--('Week 5 Schedule'!$H$2:$H$500&gt;'Week 5 Schedule'!$J$2:$J$500))+SUMPRODUCT(--('Week 5 Schedule'!$G$2:$G$500=$F$28),--('Week 5 Schedule'!$I$2:$I$500=$A30),--('Week 5 Schedule'!$J$2:$J$500&gt;'Week 5 Schedule'!$H$2:$H$500)))+(SUMPRODUCT(--('Week 6 Schedule'!$B$2:$B$500=$A30),--('Week 6 Schedule'!$D$2:$D$500=$F$28),--('Week 6 Schedule'!$C$2:$C$500&gt;'Week 6 Schedule'!$E$2:$E$500))+SUMPRODUCT(--('Week 6 Schedule'!$B$2:$B$500=$F$28),--('Week 6 Schedule'!$D$2:$D$500=$A30),--('Week 6 Schedule'!$E$2:$E$500&gt;'Week 6 Schedule'!$C$2:$C$500)))+(SUMPRODUCT(--('Week 6 Schedule'!$G$2:$G$500=$A30),--('Week 6 Schedule'!$I$2:$I$500=$F$28),--('Week 6 Schedule'!$H$2:$H$500&gt;'Week 6 Schedule'!$J$2:$J$500))+SUMPRODUCT(--('Week 6 Schedule'!$G$2:$G$500=$F$28),--('Week 6 Schedule'!$I$2:$I$500=$A30),--('Week 6 Schedule'!$J$2:$J$500&gt;'Week 6 Schedule'!$H$2:$H$500)))</f>
        <v/>
      </c>
      <c r="G30" s="9">
        <f>(SUMPRODUCT(--('Week 1 Schedule'!$B$2:$B$500=$A30),--('Week 1 Schedule'!$D$2:$D$500=$G$28),--('Week 1 Schedule'!$C$2:$C$500&gt;'Week 1 Schedule'!$E$2:$E$500))+SUMPRODUCT(--('Week 1 Schedule'!$B$2:$B$500=$G$28),--('Week 1 Schedule'!$D$2:$D$500=$A30),--('Week 1 Schedule'!$E$2:$E$500&gt;'Week 1 Schedule'!$C$2:$C$500)))+(SUMPRODUCT(--('Week 1 Schedule'!$G$2:$G$500=$A30),--('Week 1 Schedule'!$I$2:$I$500=$G$28),--('Week 1 Schedule'!$H$2:$H$500&gt;'Week 1 Schedule'!$J$2:$J$500))+SUMPRODUCT(--('Week 1 Schedule'!$G$2:$G$500=$G$28),--('Week 1 Schedule'!$I$2:$I$500=$A30),--('Week 1 Schedule'!$J$2:$J$500&gt;'Week 1 Schedule'!$H$2:$H$500)))+(SUMPRODUCT(--('Week 2 Schedule'!$B$2:$B$500=$A30),--('Week 2 Schedule'!$D$2:$D$500=$G$28),--('Week 2 Schedule'!$C$2:$C$500&gt;'Week 2 Schedule'!$E$2:$E$500))+SUMPRODUCT(--('Week 2 Schedule'!$B$2:$B$500=$G$28),--('Week 2 Schedule'!$D$2:$D$500=$A30),--('Week 2 Schedule'!$E$2:$E$500&gt;'Week 2 Schedule'!$C$2:$C$500)))+(SUMPRODUCT(--('Week 2 Schedule'!$G$2:$G$500=$A30),--('Week 2 Schedule'!$I$2:$I$500=$G$28),--('Week 2 Schedule'!$H$2:$H$500&gt;'Week 2 Schedule'!$J$2:$J$500))+SUMPRODUCT(--('Week 2 Schedule'!$G$2:$G$500=$G$28),--('Week 2 Schedule'!$I$2:$I$500=$A30),--('Week 2 Schedule'!$J$2:$J$500&gt;'Week 2 Schedule'!$H$2:$H$500)))+(SUMPRODUCT(--('Week 3 Schedule'!$B$2:$B$500=$A30),--('Week 3 Schedule'!$D$2:$D$500=$G$28),--('Week 3 Schedule'!$C$2:$C$500&gt;'Week 3 Schedule'!$E$2:$E$500))+SUMPRODUCT(--('Week 3 Schedule'!$B$2:$B$500=$G$28),--('Week 3 Schedule'!$D$2:$D$500=$A30),--('Week 3 Schedule'!$E$2:$E$500&gt;'Week 3 Schedule'!$C$2:$C$500)))+(SUMPRODUCT(--('Week 3 Schedule'!$G$2:$G$500=$A30),--('Week 3 Schedule'!$I$2:$I$500=$G$28),--('Week 3 Schedule'!$H$2:$H$500&gt;'Week 3 Schedule'!$J$2:$J$500))+SUMPRODUCT(--('Week 3 Schedule'!$G$2:$G$500=$G$28),--('Week 3 Schedule'!$I$2:$I$500=$A30),--('Week 3 Schedule'!$J$2:$J$500&gt;'Week 3 Schedule'!$H$2:$H$500)))+(SUMPRODUCT(--('Week 4 Schedule'!$B$2:$B$500=$A30),--('Week 4 Schedule'!$D$2:$D$500=$G$28),--('Week 4 Schedule'!$C$2:$C$500&gt;'Week 4 Schedule'!$E$2:$E$500))+SUMPRODUCT(--('Week 4 Schedule'!$B$2:$B$500=$G$28),--('Week 4 Schedule'!$D$2:$D$500=$A30),--('Week 4 Schedule'!$E$2:$E$500&gt;'Week 4 Schedule'!$C$2:$C$500)))+(SUMPRODUCT(--('Week 4 Schedule'!$G$2:$G$500=$A30),--('Week 4 Schedule'!$I$2:$I$500=$G$28),--('Week 4 Schedule'!$H$2:$H$500&gt;'Week 4 Schedule'!$J$2:$J$500))+SUMPRODUCT(--('Week 4 Schedule'!$G$2:$G$500=$G$28),--('Week 4 Schedule'!$I$2:$I$500=$A30),--('Week 4 Schedule'!$J$2:$J$500&gt;'Week 4 Schedule'!$H$2:$H$500)))+(SUMPRODUCT(--('Week 5 Schedule'!$B$2:$B$500=$A30),--('Week 5 Schedule'!$D$2:$D$500=$G$28),--('Week 5 Schedule'!$C$2:$C$500&gt;'Week 5 Schedule'!$E$2:$E$500))+SUMPRODUCT(--('Week 5 Schedule'!$B$2:$B$500=$G$28),--('Week 5 Schedule'!$D$2:$D$500=$A30),--('Week 5 Schedule'!$E$2:$E$500&gt;'Week 5 Schedule'!$C$2:$C$500)))+(SUMPRODUCT(--('Week 5 Schedule'!$G$2:$G$500=$A30),--('Week 5 Schedule'!$I$2:$I$500=$G$28),--('Week 5 Schedule'!$H$2:$H$500&gt;'Week 5 Schedule'!$J$2:$J$500))+SUMPRODUCT(--('Week 5 Schedule'!$G$2:$G$500=$G$28),--('Week 5 Schedule'!$I$2:$I$500=$A30),--('Week 5 Schedule'!$J$2:$J$500&gt;'Week 5 Schedule'!$H$2:$H$500)))+(SUMPRODUCT(--('Week 6 Schedule'!$B$2:$B$500=$A30),--('Week 6 Schedule'!$D$2:$D$500=$G$28),--('Week 6 Schedule'!$C$2:$C$500&gt;'Week 6 Schedule'!$E$2:$E$500))+SUMPRODUCT(--('Week 6 Schedule'!$B$2:$B$500=$G$28),--('Week 6 Schedule'!$D$2:$D$500=$A30),--('Week 6 Schedule'!$E$2:$E$500&gt;'Week 6 Schedule'!$C$2:$C$500)))+(SUMPRODUCT(--('Week 6 Schedule'!$G$2:$G$500=$A30),--('Week 6 Schedule'!$I$2:$I$500=$G$28),--('Week 6 Schedule'!$H$2:$H$500&gt;'Week 6 Schedule'!$J$2:$J$500))+SUMPRODUCT(--('Week 6 Schedule'!$G$2:$G$500=$G$28),--('Week 6 Schedule'!$I$2:$I$500=$A30),--('Week 6 Schedule'!$J$2:$J$500&gt;'Week 6 Schedule'!$H$2:$H$500)))</f>
        <v/>
      </c>
      <c r="H30" s="9">
        <f>(SUMPRODUCT(--('Week 1 Schedule'!$B$2:$B$500=$A30),--('Week 1 Schedule'!$D$2:$D$500=$H$28),--('Week 1 Schedule'!$C$2:$C$500&gt;'Week 1 Schedule'!$E$2:$E$500))+SUMPRODUCT(--('Week 1 Schedule'!$B$2:$B$500=$H$28),--('Week 1 Schedule'!$D$2:$D$500=$A30),--('Week 1 Schedule'!$E$2:$E$500&gt;'Week 1 Schedule'!$C$2:$C$500)))+(SUMPRODUCT(--('Week 1 Schedule'!$G$2:$G$500=$A30),--('Week 1 Schedule'!$I$2:$I$500=$H$28),--('Week 1 Schedule'!$H$2:$H$500&gt;'Week 1 Schedule'!$J$2:$J$500))+SUMPRODUCT(--('Week 1 Schedule'!$G$2:$G$500=$H$28),--('Week 1 Schedule'!$I$2:$I$500=$A30),--('Week 1 Schedule'!$J$2:$J$500&gt;'Week 1 Schedule'!$H$2:$H$500)))+(SUMPRODUCT(--('Week 2 Schedule'!$B$2:$B$500=$A30),--('Week 2 Schedule'!$D$2:$D$500=$H$28),--('Week 2 Schedule'!$C$2:$C$500&gt;'Week 2 Schedule'!$E$2:$E$500))+SUMPRODUCT(--('Week 2 Schedule'!$B$2:$B$500=$H$28),--('Week 2 Schedule'!$D$2:$D$500=$A30),--('Week 2 Schedule'!$E$2:$E$500&gt;'Week 2 Schedule'!$C$2:$C$500)))+(SUMPRODUCT(--('Week 2 Schedule'!$G$2:$G$500=$A30),--('Week 2 Schedule'!$I$2:$I$500=$H$28),--('Week 2 Schedule'!$H$2:$H$500&gt;'Week 2 Schedule'!$J$2:$J$500))+SUMPRODUCT(--('Week 2 Schedule'!$G$2:$G$500=$H$28),--('Week 2 Schedule'!$I$2:$I$500=$A30),--('Week 2 Schedule'!$J$2:$J$500&gt;'Week 2 Schedule'!$H$2:$H$500)))+(SUMPRODUCT(--('Week 3 Schedule'!$B$2:$B$500=$A30),--('Week 3 Schedule'!$D$2:$D$500=$H$28),--('Week 3 Schedule'!$C$2:$C$500&gt;'Week 3 Schedule'!$E$2:$E$500))+SUMPRODUCT(--('Week 3 Schedule'!$B$2:$B$500=$H$28),--('Week 3 Schedule'!$D$2:$D$500=$A30),--('Week 3 Schedule'!$E$2:$E$500&gt;'Week 3 Schedule'!$C$2:$C$500)))+(SUMPRODUCT(--('Week 3 Schedule'!$G$2:$G$500=$A30),--('Week 3 Schedule'!$I$2:$I$500=$H$28),--('Week 3 Schedule'!$H$2:$H$500&gt;'Week 3 Schedule'!$J$2:$J$500))+SUMPRODUCT(--('Week 3 Schedule'!$G$2:$G$500=$H$28),--('Week 3 Schedule'!$I$2:$I$500=$A30),--('Week 3 Schedule'!$J$2:$J$500&gt;'Week 3 Schedule'!$H$2:$H$500)))+(SUMPRODUCT(--('Week 4 Schedule'!$B$2:$B$500=$A30),--('Week 4 Schedule'!$D$2:$D$500=$H$28),--('Week 4 Schedule'!$C$2:$C$500&gt;'Week 4 Schedule'!$E$2:$E$500))+SUMPRODUCT(--('Week 4 Schedule'!$B$2:$B$500=$H$28),--('Week 4 Schedule'!$D$2:$D$500=$A30),--('Week 4 Schedule'!$E$2:$E$500&gt;'Week 4 Schedule'!$C$2:$C$500)))+(SUMPRODUCT(--('Week 4 Schedule'!$G$2:$G$500=$A30),--('Week 4 Schedule'!$I$2:$I$500=$H$28),--('Week 4 Schedule'!$H$2:$H$500&gt;'Week 4 Schedule'!$J$2:$J$500))+SUMPRODUCT(--('Week 4 Schedule'!$G$2:$G$500=$H$28),--('Week 4 Schedule'!$I$2:$I$500=$A30),--('Week 4 Schedule'!$J$2:$J$500&gt;'Week 4 Schedule'!$H$2:$H$500)))+(SUMPRODUCT(--('Week 5 Schedule'!$B$2:$B$500=$A30),--('Week 5 Schedule'!$D$2:$D$500=$H$28),--('Week 5 Schedule'!$C$2:$C$500&gt;'Week 5 Schedule'!$E$2:$E$500))+SUMPRODUCT(--('Week 5 Schedule'!$B$2:$B$500=$H$28),--('Week 5 Schedule'!$D$2:$D$500=$A30),--('Week 5 Schedule'!$E$2:$E$500&gt;'Week 5 Schedule'!$C$2:$C$500)))+(SUMPRODUCT(--('Week 5 Schedule'!$G$2:$G$500=$A30),--('Week 5 Schedule'!$I$2:$I$500=$H$28),--('Week 5 Schedule'!$H$2:$H$500&gt;'Week 5 Schedule'!$J$2:$J$500))+SUMPRODUCT(--('Week 5 Schedule'!$G$2:$G$500=$H$28),--('Week 5 Schedule'!$I$2:$I$500=$A30),--('Week 5 Schedule'!$J$2:$J$500&gt;'Week 5 Schedule'!$H$2:$H$500)))+(SUMPRODUCT(--('Week 6 Schedule'!$B$2:$B$500=$A30),--('Week 6 Schedule'!$D$2:$D$500=$H$28),--('Week 6 Schedule'!$C$2:$C$500&gt;'Week 6 Schedule'!$E$2:$E$500))+SUMPRODUCT(--('Week 6 Schedule'!$B$2:$B$500=$H$28),--('Week 6 Schedule'!$D$2:$D$500=$A30),--('Week 6 Schedule'!$E$2:$E$500&gt;'Week 6 Schedule'!$C$2:$C$500)))+(SUMPRODUCT(--('Week 6 Schedule'!$G$2:$G$500=$A30),--('Week 6 Schedule'!$I$2:$I$500=$H$28),--('Week 6 Schedule'!$H$2:$H$500&gt;'Week 6 Schedule'!$J$2:$J$500))+SUMPRODUCT(--('Week 6 Schedule'!$G$2:$G$500=$H$28),--('Week 6 Schedule'!$I$2:$I$500=$A30),--('Week 6 Schedule'!$J$2:$J$500&gt;'Week 6 Schedule'!$H$2:$H$500)))</f>
        <v/>
      </c>
      <c r="I30" s="9">
        <f>(SUMPRODUCT(--('Week 1 Schedule'!$B$2:$B$500=$A30),--('Week 1 Schedule'!$D$2:$D$500=$I$28),--('Week 1 Schedule'!$C$2:$C$500&gt;'Week 1 Schedule'!$E$2:$E$500))+SUMPRODUCT(--('Week 1 Schedule'!$B$2:$B$500=$I$28),--('Week 1 Schedule'!$D$2:$D$500=$A30),--('Week 1 Schedule'!$E$2:$E$500&gt;'Week 1 Schedule'!$C$2:$C$500)))+(SUMPRODUCT(--('Week 1 Schedule'!$G$2:$G$500=$A30),--('Week 1 Schedule'!$I$2:$I$500=$I$28),--('Week 1 Schedule'!$H$2:$H$500&gt;'Week 1 Schedule'!$J$2:$J$500))+SUMPRODUCT(--('Week 1 Schedule'!$G$2:$G$500=$I$28),--('Week 1 Schedule'!$I$2:$I$500=$A30),--('Week 1 Schedule'!$J$2:$J$500&gt;'Week 1 Schedule'!$H$2:$H$500)))+(SUMPRODUCT(--('Week 2 Schedule'!$B$2:$B$500=$A30),--('Week 2 Schedule'!$D$2:$D$500=$I$28),--('Week 2 Schedule'!$C$2:$C$500&gt;'Week 2 Schedule'!$E$2:$E$500))+SUMPRODUCT(--('Week 2 Schedule'!$B$2:$B$500=$I$28),--('Week 2 Schedule'!$D$2:$D$500=$A30),--('Week 2 Schedule'!$E$2:$E$500&gt;'Week 2 Schedule'!$C$2:$C$500)))+(SUMPRODUCT(--('Week 2 Schedule'!$G$2:$G$500=$A30),--('Week 2 Schedule'!$I$2:$I$500=$I$28),--('Week 2 Schedule'!$H$2:$H$500&gt;'Week 2 Schedule'!$J$2:$J$500))+SUMPRODUCT(--('Week 2 Schedule'!$G$2:$G$500=$I$28),--('Week 2 Schedule'!$I$2:$I$500=$A30),--('Week 2 Schedule'!$J$2:$J$500&gt;'Week 2 Schedule'!$H$2:$H$500)))+(SUMPRODUCT(--('Week 3 Schedule'!$B$2:$B$500=$A30),--('Week 3 Schedule'!$D$2:$D$500=$I$28),--('Week 3 Schedule'!$C$2:$C$500&gt;'Week 3 Schedule'!$E$2:$E$500))+SUMPRODUCT(--('Week 3 Schedule'!$B$2:$B$500=$I$28),--('Week 3 Schedule'!$D$2:$D$500=$A30),--('Week 3 Schedule'!$E$2:$E$500&gt;'Week 3 Schedule'!$C$2:$C$500)))+(SUMPRODUCT(--('Week 3 Schedule'!$G$2:$G$500=$A30),--('Week 3 Schedule'!$I$2:$I$500=$I$28),--('Week 3 Schedule'!$H$2:$H$500&gt;'Week 3 Schedule'!$J$2:$J$500))+SUMPRODUCT(--('Week 3 Schedule'!$G$2:$G$500=$I$28),--('Week 3 Schedule'!$I$2:$I$500=$A30),--('Week 3 Schedule'!$J$2:$J$500&gt;'Week 3 Schedule'!$H$2:$H$500)))+(SUMPRODUCT(--('Week 4 Schedule'!$B$2:$B$500=$A30),--('Week 4 Schedule'!$D$2:$D$500=$I$28),--('Week 4 Schedule'!$C$2:$C$500&gt;'Week 4 Schedule'!$E$2:$E$500))+SUMPRODUCT(--('Week 4 Schedule'!$B$2:$B$500=$I$28),--('Week 4 Schedule'!$D$2:$D$500=$A30),--('Week 4 Schedule'!$E$2:$E$500&gt;'Week 4 Schedule'!$C$2:$C$500)))+(SUMPRODUCT(--('Week 4 Schedule'!$G$2:$G$500=$A30),--('Week 4 Schedule'!$I$2:$I$500=$I$28),--('Week 4 Schedule'!$H$2:$H$500&gt;'Week 4 Schedule'!$J$2:$J$500))+SUMPRODUCT(--('Week 4 Schedule'!$G$2:$G$500=$I$28),--('Week 4 Schedule'!$I$2:$I$500=$A30),--('Week 4 Schedule'!$J$2:$J$500&gt;'Week 4 Schedule'!$H$2:$H$500)))+(SUMPRODUCT(--('Week 5 Schedule'!$B$2:$B$500=$A30),--('Week 5 Schedule'!$D$2:$D$500=$I$28),--('Week 5 Schedule'!$C$2:$C$500&gt;'Week 5 Schedule'!$E$2:$E$500))+SUMPRODUCT(--('Week 5 Schedule'!$B$2:$B$500=$I$28),--('Week 5 Schedule'!$D$2:$D$500=$A30),--('Week 5 Schedule'!$E$2:$E$500&gt;'Week 5 Schedule'!$C$2:$C$500)))+(SUMPRODUCT(--('Week 5 Schedule'!$G$2:$G$500=$A30),--('Week 5 Schedule'!$I$2:$I$500=$I$28),--('Week 5 Schedule'!$H$2:$H$500&gt;'Week 5 Schedule'!$J$2:$J$500))+SUMPRODUCT(--('Week 5 Schedule'!$G$2:$G$500=$I$28),--('Week 5 Schedule'!$I$2:$I$500=$A30),--('Week 5 Schedule'!$J$2:$J$500&gt;'Week 5 Schedule'!$H$2:$H$500)))+(SUMPRODUCT(--('Week 6 Schedule'!$B$2:$B$500=$A30),--('Week 6 Schedule'!$D$2:$D$500=$I$28),--('Week 6 Schedule'!$C$2:$C$500&gt;'Week 6 Schedule'!$E$2:$E$500))+SUMPRODUCT(--('Week 6 Schedule'!$B$2:$B$500=$I$28),--('Week 6 Schedule'!$D$2:$D$500=$A30),--('Week 6 Schedule'!$E$2:$E$500&gt;'Week 6 Schedule'!$C$2:$C$500)))+(SUMPRODUCT(--('Week 6 Schedule'!$G$2:$G$500=$A30),--('Week 6 Schedule'!$I$2:$I$500=$I$28),--('Week 6 Schedule'!$H$2:$H$500&gt;'Week 6 Schedule'!$J$2:$J$500))+SUMPRODUCT(--('Week 6 Schedule'!$G$2:$G$500=$I$28),--('Week 6 Schedule'!$I$2:$I$500=$A30),--('Week 6 Schedule'!$J$2:$J$500&gt;'Week 6 Schedule'!$H$2:$H$500)))</f>
        <v/>
      </c>
      <c r="J30" s="9" t="n"/>
      <c r="K30" s="9" t="n"/>
      <c r="L30" s="9" t="n"/>
      <c r="M30" s="9" t="n"/>
    </row>
    <row r="31">
      <c r="A31" s="9" t="inlineStr">
        <is>
          <t>Team 3</t>
        </is>
      </c>
      <c r="B31" s="9">
        <f>(SUMPRODUCT(--('Week 1 Schedule'!$B$2:$B$500=$A31),--('Week 1 Schedule'!$D$2:$D$500=$B$28),--('Week 1 Schedule'!$C$2:$C$500&gt;'Week 1 Schedule'!$E$2:$E$500))+SUMPRODUCT(--('Week 1 Schedule'!$B$2:$B$500=$B$28),--('Week 1 Schedule'!$D$2:$D$500=$A31),--('Week 1 Schedule'!$E$2:$E$500&gt;'Week 1 Schedule'!$C$2:$C$500)))+(SUMPRODUCT(--('Week 1 Schedule'!$G$2:$G$500=$A31),--('Week 1 Schedule'!$I$2:$I$500=$B$28),--('Week 1 Schedule'!$H$2:$H$500&gt;'Week 1 Schedule'!$J$2:$J$500))+SUMPRODUCT(--('Week 1 Schedule'!$G$2:$G$500=$B$28),--('Week 1 Schedule'!$I$2:$I$500=$A31),--('Week 1 Schedule'!$J$2:$J$500&gt;'Week 1 Schedule'!$H$2:$H$500)))+(SUMPRODUCT(--('Week 2 Schedule'!$B$2:$B$500=$A31),--('Week 2 Schedule'!$D$2:$D$500=$B$28),--('Week 2 Schedule'!$C$2:$C$500&gt;'Week 2 Schedule'!$E$2:$E$500))+SUMPRODUCT(--('Week 2 Schedule'!$B$2:$B$500=$B$28),--('Week 2 Schedule'!$D$2:$D$500=$A31),--('Week 2 Schedule'!$E$2:$E$500&gt;'Week 2 Schedule'!$C$2:$C$500)))+(SUMPRODUCT(--('Week 2 Schedule'!$G$2:$G$500=$A31),--('Week 2 Schedule'!$I$2:$I$500=$B$28),--('Week 2 Schedule'!$H$2:$H$500&gt;'Week 2 Schedule'!$J$2:$J$500))+SUMPRODUCT(--('Week 2 Schedule'!$G$2:$G$500=$B$28),--('Week 2 Schedule'!$I$2:$I$500=$A31),--('Week 2 Schedule'!$J$2:$J$500&gt;'Week 2 Schedule'!$H$2:$H$500)))+(SUMPRODUCT(--('Week 3 Schedule'!$B$2:$B$500=$A31),--('Week 3 Schedule'!$D$2:$D$500=$B$28),--('Week 3 Schedule'!$C$2:$C$500&gt;'Week 3 Schedule'!$E$2:$E$500))+SUMPRODUCT(--('Week 3 Schedule'!$B$2:$B$500=$B$28),--('Week 3 Schedule'!$D$2:$D$500=$A31),--('Week 3 Schedule'!$E$2:$E$500&gt;'Week 3 Schedule'!$C$2:$C$500)))+(SUMPRODUCT(--('Week 3 Schedule'!$G$2:$G$500=$A31),--('Week 3 Schedule'!$I$2:$I$500=$B$28),--('Week 3 Schedule'!$H$2:$H$500&gt;'Week 3 Schedule'!$J$2:$J$500))+SUMPRODUCT(--('Week 3 Schedule'!$G$2:$G$500=$B$28),--('Week 3 Schedule'!$I$2:$I$500=$A31),--('Week 3 Schedule'!$J$2:$J$500&gt;'Week 3 Schedule'!$H$2:$H$500)))+(SUMPRODUCT(--('Week 4 Schedule'!$B$2:$B$500=$A31),--('Week 4 Schedule'!$D$2:$D$500=$B$28),--('Week 4 Schedule'!$C$2:$C$500&gt;'Week 4 Schedule'!$E$2:$E$500))+SUMPRODUCT(--('Week 4 Schedule'!$B$2:$B$500=$B$28),--('Week 4 Schedule'!$D$2:$D$500=$A31),--('Week 4 Schedule'!$E$2:$E$500&gt;'Week 4 Schedule'!$C$2:$C$500)))+(SUMPRODUCT(--('Week 4 Schedule'!$G$2:$G$500=$A31),--('Week 4 Schedule'!$I$2:$I$500=$B$28),--('Week 4 Schedule'!$H$2:$H$500&gt;'Week 4 Schedule'!$J$2:$J$500))+SUMPRODUCT(--('Week 4 Schedule'!$G$2:$G$500=$B$28),--('Week 4 Schedule'!$I$2:$I$500=$A31),--('Week 4 Schedule'!$J$2:$J$500&gt;'Week 4 Schedule'!$H$2:$H$500)))+(SUMPRODUCT(--('Week 5 Schedule'!$B$2:$B$500=$A31),--('Week 5 Schedule'!$D$2:$D$500=$B$28),--('Week 5 Schedule'!$C$2:$C$500&gt;'Week 5 Schedule'!$E$2:$E$500))+SUMPRODUCT(--('Week 5 Schedule'!$B$2:$B$500=$B$28),--('Week 5 Schedule'!$D$2:$D$500=$A31),--('Week 5 Schedule'!$E$2:$E$500&gt;'Week 5 Schedule'!$C$2:$C$500)))+(SUMPRODUCT(--('Week 5 Schedule'!$G$2:$G$500=$A31),--('Week 5 Schedule'!$I$2:$I$500=$B$28),--('Week 5 Schedule'!$H$2:$H$500&gt;'Week 5 Schedule'!$J$2:$J$500))+SUMPRODUCT(--('Week 5 Schedule'!$G$2:$G$500=$B$28),--('Week 5 Schedule'!$I$2:$I$500=$A31),--('Week 5 Schedule'!$J$2:$J$500&gt;'Week 5 Schedule'!$H$2:$H$500)))+(SUMPRODUCT(--('Week 6 Schedule'!$B$2:$B$500=$A31),--('Week 6 Schedule'!$D$2:$D$500=$B$28),--('Week 6 Schedule'!$C$2:$C$500&gt;'Week 6 Schedule'!$E$2:$E$500))+SUMPRODUCT(--('Week 6 Schedule'!$B$2:$B$500=$B$28),--('Week 6 Schedule'!$D$2:$D$500=$A31),--('Week 6 Schedule'!$E$2:$E$500&gt;'Week 6 Schedule'!$C$2:$C$500)))+(SUMPRODUCT(--('Week 6 Schedule'!$G$2:$G$500=$A31),--('Week 6 Schedule'!$I$2:$I$500=$B$28),--('Week 6 Schedule'!$H$2:$H$500&gt;'Week 6 Schedule'!$J$2:$J$500))+SUMPRODUCT(--('Week 6 Schedule'!$G$2:$G$500=$B$28),--('Week 6 Schedule'!$I$2:$I$500=$A31),--('Week 6 Schedule'!$J$2:$J$500&gt;'Week 6 Schedule'!$H$2:$H$500)))</f>
        <v/>
      </c>
      <c r="C31" s="9">
        <f>(SUMPRODUCT(--('Week 1 Schedule'!$B$2:$B$500=$A31),--('Week 1 Schedule'!$D$2:$D$500=$C$28),--('Week 1 Schedule'!$C$2:$C$500&gt;'Week 1 Schedule'!$E$2:$E$500))+SUMPRODUCT(--('Week 1 Schedule'!$B$2:$B$500=$C$28),--('Week 1 Schedule'!$D$2:$D$500=$A31),--('Week 1 Schedule'!$E$2:$E$500&gt;'Week 1 Schedule'!$C$2:$C$500)))+(SUMPRODUCT(--('Week 1 Schedule'!$G$2:$G$500=$A31),--('Week 1 Schedule'!$I$2:$I$500=$C$28),--('Week 1 Schedule'!$H$2:$H$500&gt;'Week 1 Schedule'!$J$2:$J$500))+SUMPRODUCT(--('Week 1 Schedule'!$G$2:$G$500=$C$28),--('Week 1 Schedule'!$I$2:$I$500=$A31),--('Week 1 Schedule'!$J$2:$J$500&gt;'Week 1 Schedule'!$H$2:$H$500)))+(SUMPRODUCT(--('Week 2 Schedule'!$B$2:$B$500=$A31),--('Week 2 Schedule'!$D$2:$D$500=$C$28),--('Week 2 Schedule'!$C$2:$C$500&gt;'Week 2 Schedule'!$E$2:$E$500))+SUMPRODUCT(--('Week 2 Schedule'!$B$2:$B$500=$C$28),--('Week 2 Schedule'!$D$2:$D$500=$A31),--('Week 2 Schedule'!$E$2:$E$500&gt;'Week 2 Schedule'!$C$2:$C$500)))+(SUMPRODUCT(--('Week 2 Schedule'!$G$2:$G$500=$A31),--('Week 2 Schedule'!$I$2:$I$500=$C$28),--('Week 2 Schedule'!$H$2:$H$500&gt;'Week 2 Schedule'!$J$2:$J$500))+SUMPRODUCT(--('Week 2 Schedule'!$G$2:$G$500=$C$28),--('Week 2 Schedule'!$I$2:$I$500=$A31),--('Week 2 Schedule'!$J$2:$J$500&gt;'Week 2 Schedule'!$H$2:$H$500)))+(SUMPRODUCT(--('Week 3 Schedule'!$B$2:$B$500=$A31),--('Week 3 Schedule'!$D$2:$D$500=$C$28),--('Week 3 Schedule'!$C$2:$C$500&gt;'Week 3 Schedule'!$E$2:$E$500))+SUMPRODUCT(--('Week 3 Schedule'!$B$2:$B$500=$C$28),--('Week 3 Schedule'!$D$2:$D$500=$A31),--('Week 3 Schedule'!$E$2:$E$500&gt;'Week 3 Schedule'!$C$2:$C$500)))+(SUMPRODUCT(--('Week 3 Schedule'!$G$2:$G$500=$A31),--('Week 3 Schedule'!$I$2:$I$500=$C$28),--('Week 3 Schedule'!$H$2:$H$500&gt;'Week 3 Schedule'!$J$2:$J$500))+SUMPRODUCT(--('Week 3 Schedule'!$G$2:$G$500=$C$28),--('Week 3 Schedule'!$I$2:$I$500=$A31),--('Week 3 Schedule'!$J$2:$J$500&gt;'Week 3 Schedule'!$H$2:$H$500)))+(SUMPRODUCT(--('Week 4 Schedule'!$B$2:$B$500=$A31),--('Week 4 Schedule'!$D$2:$D$500=$C$28),--('Week 4 Schedule'!$C$2:$C$500&gt;'Week 4 Schedule'!$E$2:$E$500))+SUMPRODUCT(--('Week 4 Schedule'!$B$2:$B$500=$C$28),--('Week 4 Schedule'!$D$2:$D$500=$A31),--('Week 4 Schedule'!$E$2:$E$500&gt;'Week 4 Schedule'!$C$2:$C$500)))+(SUMPRODUCT(--('Week 4 Schedule'!$G$2:$G$500=$A31),--('Week 4 Schedule'!$I$2:$I$500=$C$28),--('Week 4 Schedule'!$H$2:$H$500&gt;'Week 4 Schedule'!$J$2:$J$500))+SUMPRODUCT(--('Week 4 Schedule'!$G$2:$G$500=$C$28),--('Week 4 Schedule'!$I$2:$I$500=$A31),--('Week 4 Schedule'!$J$2:$J$500&gt;'Week 4 Schedule'!$H$2:$H$500)))+(SUMPRODUCT(--('Week 5 Schedule'!$B$2:$B$500=$A31),--('Week 5 Schedule'!$D$2:$D$500=$C$28),--('Week 5 Schedule'!$C$2:$C$500&gt;'Week 5 Schedule'!$E$2:$E$500))+SUMPRODUCT(--('Week 5 Schedule'!$B$2:$B$500=$C$28),--('Week 5 Schedule'!$D$2:$D$500=$A31),--('Week 5 Schedule'!$E$2:$E$500&gt;'Week 5 Schedule'!$C$2:$C$500)))+(SUMPRODUCT(--('Week 5 Schedule'!$G$2:$G$500=$A31),--('Week 5 Schedule'!$I$2:$I$500=$C$28),--('Week 5 Schedule'!$H$2:$H$500&gt;'Week 5 Schedule'!$J$2:$J$500))+SUMPRODUCT(--('Week 5 Schedule'!$G$2:$G$500=$C$28),--('Week 5 Schedule'!$I$2:$I$500=$A31),--('Week 5 Schedule'!$J$2:$J$500&gt;'Week 5 Schedule'!$H$2:$H$500)))+(SUMPRODUCT(--('Week 6 Schedule'!$B$2:$B$500=$A31),--('Week 6 Schedule'!$D$2:$D$500=$C$28),--('Week 6 Schedule'!$C$2:$C$500&gt;'Week 6 Schedule'!$E$2:$E$500))+SUMPRODUCT(--('Week 6 Schedule'!$B$2:$B$500=$C$28),--('Week 6 Schedule'!$D$2:$D$500=$A31),--('Week 6 Schedule'!$E$2:$E$500&gt;'Week 6 Schedule'!$C$2:$C$500)))+(SUMPRODUCT(--('Week 6 Schedule'!$G$2:$G$500=$A31),--('Week 6 Schedule'!$I$2:$I$500=$C$28),--('Week 6 Schedule'!$H$2:$H$500&gt;'Week 6 Schedule'!$J$2:$J$500))+SUMPRODUCT(--('Week 6 Schedule'!$G$2:$G$500=$C$28),--('Week 6 Schedule'!$I$2:$I$500=$A31),--('Week 6 Schedule'!$J$2:$J$500&gt;'Week 6 Schedule'!$H$2:$H$500)))</f>
        <v/>
      </c>
      <c r="D31" s="9" t="inlineStr">
        <is>
          <t>—</t>
        </is>
      </c>
      <c r="E31" s="9">
        <f>(SUMPRODUCT(--('Week 1 Schedule'!$B$2:$B$500=$A31),--('Week 1 Schedule'!$D$2:$D$500=$E$28),--('Week 1 Schedule'!$C$2:$C$500&gt;'Week 1 Schedule'!$E$2:$E$500))+SUMPRODUCT(--('Week 1 Schedule'!$B$2:$B$500=$E$28),--('Week 1 Schedule'!$D$2:$D$500=$A31),--('Week 1 Schedule'!$E$2:$E$500&gt;'Week 1 Schedule'!$C$2:$C$500)))+(SUMPRODUCT(--('Week 1 Schedule'!$G$2:$G$500=$A31),--('Week 1 Schedule'!$I$2:$I$500=$E$28),--('Week 1 Schedule'!$H$2:$H$500&gt;'Week 1 Schedule'!$J$2:$J$500))+SUMPRODUCT(--('Week 1 Schedule'!$G$2:$G$500=$E$28),--('Week 1 Schedule'!$I$2:$I$500=$A31),--('Week 1 Schedule'!$J$2:$J$500&gt;'Week 1 Schedule'!$H$2:$H$500)))+(SUMPRODUCT(--('Week 2 Schedule'!$B$2:$B$500=$A31),--('Week 2 Schedule'!$D$2:$D$500=$E$28),--('Week 2 Schedule'!$C$2:$C$500&gt;'Week 2 Schedule'!$E$2:$E$500))+SUMPRODUCT(--('Week 2 Schedule'!$B$2:$B$500=$E$28),--('Week 2 Schedule'!$D$2:$D$500=$A31),--('Week 2 Schedule'!$E$2:$E$500&gt;'Week 2 Schedule'!$C$2:$C$500)))+(SUMPRODUCT(--('Week 2 Schedule'!$G$2:$G$500=$A31),--('Week 2 Schedule'!$I$2:$I$500=$E$28),--('Week 2 Schedule'!$H$2:$H$500&gt;'Week 2 Schedule'!$J$2:$J$500))+SUMPRODUCT(--('Week 2 Schedule'!$G$2:$G$500=$E$28),--('Week 2 Schedule'!$I$2:$I$500=$A31),--('Week 2 Schedule'!$J$2:$J$500&gt;'Week 2 Schedule'!$H$2:$H$500)))+(SUMPRODUCT(--('Week 3 Schedule'!$B$2:$B$500=$A31),--('Week 3 Schedule'!$D$2:$D$500=$E$28),--('Week 3 Schedule'!$C$2:$C$500&gt;'Week 3 Schedule'!$E$2:$E$500))+SUMPRODUCT(--('Week 3 Schedule'!$B$2:$B$500=$E$28),--('Week 3 Schedule'!$D$2:$D$500=$A31),--('Week 3 Schedule'!$E$2:$E$500&gt;'Week 3 Schedule'!$C$2:$C$500)))+(SUMPRODUCT(--('Week 3 Schedule'!$G$2:$G$500=$A31),--('Week 3 Schedule'!$I$2:$I$500=$E$28),--('Week 3 Schedule'!$H$2:$H$500&gt;'Week 3 Schedule'!$J$2:$J$500))+SUMPRODUCT(--('Week 3 Schedule'!$G$2:$G$500=$E$28),--('Week 3 Schedule'!$I$2:$I$500=$A31),--('Week 3 Schedule'!$J$2:$J$500&gt;'Week 3 Schedule'!$H$2:$H$500)))+(SUMPRODUCT(--('Week 4 Schedule'!$B$2:$B$500=$A31),--('Week 4 Schedule'!$D$2:$D$500=$E$28),--('Week 4 Schedule'!$C$2:$C$500&gt;'Week 4 Schedule'!$E$2:$E$500))+SUMPRODUCT(--('Week 4 Schedule'!$B$2:$B$500=$E$28),--('Week 4 Schedule'!$D$2:$D$500=$A31),--('Week 4 Schedule'!$E$2:$E$500&gt;'Week 4 Schedule'!$C$2:$C$500)))+(SUMPRODUCT(--('Week 4 Schedule'!$G$2:$G$500=$A31),--('Week 4 Schedule'!$I$2:$I$500=$E$28),--('Week 4 Schedule'!$H$2:$H$500&gt;'Week 4 Schedule'!$J$2:$J$500))+SUMPRODUCT(--('Week 4 Schedule'!$G$2:$G$500=$E$28),--('Week 4 Schedule'!$I$2:$I$500=$A31),--('Week 4 Schedule'!$J$2:$J$500&gt;'Week 4 Schedule'!$H$2:$H$500)))+(SUMPRODUCT(--('Week 5 Schedule'!$B$2:$B$500=$A31),--('Week 5 Schedule'!$D$2:$D$500=$E$28),--('Week 5 Schedule'!$C$2:$C$500&gt;'Week 5 Schedule'!$E$2:$E$500))+SUMPRODUCT(--('Week 5 Schedule'!$B$2:$B$500=$E$28),--('Week 5 Schedule'!$D$2:$D$500=$A31),--('Week 5 Schedule'!$E$2:$E$500&gt;'Week 5 Schedule'!$C$2:$C$500)))+(SUMPRODUCT(--('Week 5 Schedule'!$G$2:$G$500=$A31),--('Week 5 Schedule'!$I$2:$I$500=$E$28),--('Week 5 Schedule'!$H$2:$H$500&gt;'Week 5 Schedule'!$J$2:$J$500))+SUMPRODUCT(--('Week 5 Schedule'!$G$2:$G$500=$E$28),--('Week 5 Schedule'!$I$2:$I$500=$A31),--('Week 5 Schedule'!$J$2:$J$500&gt;'Week 5 Schedule'!$H$2:$H$500)))+(SUMPRODUCT(--('Week 6 Schedule'!$B$2:$B$500=$A31),--('Week 6 Schedule'!$D$2:$D$500=$E$28),--('Week 6 Schedule'!$C$2:$C$500&gt;'Week 6 Schedule'!$E$2:$E$500))+SUMPRODUCT(--('Week 6 Schedule'!$B$2:$B$500=$E$28),--('Week 6 Schedule'!$D$2:$D$500=$A31),--('Week 6 Schedule'!$E$2:$E$500&gt;'Week 6 Schedule'!$C$2:$C$500)))+(SUMPRODUCT(--('Week 6 Schedule'!$G$2:$G$500=$A31),--('Week 6 Schedule'!$I$2:$I$500=$E$28),--('Week 6 Schedule'!$H$2:$H$500&gt;'Week 6 Schedule'!$J$2:$J$500))+SUMPRODUCT(--('Week 6 Schedule'!$G$2:$G$500=$E$28),--('Week 6 Schedule'!$I$2:$I$500=$A31),--('Week 6 Schedule'!$J$2:$J$500&gt;'Week 6 Schedule'!$H$2:$H$500)))</f>
        <v/>
      </c>
      <c r="F31" s="9">
        <f>(SUMPRODUCT(--('Week 1 Schedule'!$B$2:$B$500=$A31),--('Week 1 Schedule'!$D$2:$D$500=$F$28),--('Week 1 Schedule'!$C$2:$C$500&gt;'Week 1 Schedule'!$E$2:$E$500))+SUMPRODUCT(--('Week 1 Schedule'!$B$2:$B$500=$F$28),--('Week 1 Schedule'!$D$2:$D$500=$A31),--('Week 1 Schedule'!$E$2:$E$500&gt;'Week 1 Schedule'!$C$2:$C$500)))+(SUMPRODUCT(--('Week 1 Schedule'!$G$2:$G$500=$A31),--('Week 1 Schedule'!$I$2:$I$500=$F$28),--('Week 1 Schedule'!$H$2:$H$500&gt;'Week 1 Schedule'!$J$2:$J$500))+SUMPRODUCT(--('Week 1 Schedule'!$G$2:$G$500=$F$28),--('Week 1 Schedule'!$I$2:$I$500=$A31),--('Week 1 Schedule'!$J$2:$J$500&gt;'Week 1 Schedule'!$H$2:$H$500)))+(SUMPRODUCT(--('Week 2 Schedule'!$B$2:$B$500=$A31),--('Week 2 Schedule'!$D$2:$D$500=$F$28),--('Week 2 Schedule'!$C$2:$C$500&gt;'Week 2 Schedule'!$E$2:$E$500))+SUMPRODUCT(--('Week 2 Schedule'!$B$2:$B$500=$F$28),--('Week 2 Schedule'!$D$2:$D$500=$A31),--('Week 2 Schedule'!$E$2:$E$500&gt;'Week 2 Schedule'!$C$2:$C$500)))+(SUMPRODUCT(--('Week 2 Schedule'!$G$2:$G$500=$A31),--('Week 2 Schedule'!$I$2:$I$500=$F$28),--('Week 2 Schedule'!$H$2:$H$500&gt;'Week 2 Schedule'!$J$2:$J$500))+SUMPRODUCT(--('Week 2 Schedule'!$G$2:$G$500=$F$28),--('Week 2 Schedule'!$I$2:$I$500=$A31),--('Week 2 Schedule'!$J$2:$J$500&gt;'Week 2 Schedule'!$H$2:$H$500)))+(SUMPRODUCT(--('Week 3 Schedule'!$B$2:$B$500=$A31),--('Week 3 Schedule'!$D$2:$D$500=$F$28),--('Week 3 Schedule'!$C$2:$C$500&gt;'Week 3 Schedule'!$E$2:$E$500))+SUMPRODUCT(--('Week 3 Schedule'!$B$2:$B$500=$F$28),--('Week 3 Schedule'!$D$2:$D$500=$A31),--('Week 3 Schedule'!$E$2:$E$500&gt;'Week 3 Schedule'!$C$2:$C$500)))+(SUMPRODUCT(--('Week 3 Schedule'!$G$2:$G$500=$A31),--('Week 3 Schedule'!$I$2:$I$500=$F$28),--('Week 3 Schedule'!$H$2:$H$500&gt;'Week 3 Schedule'!$J$2:$J$500))+SUMPRODUCT(--('Week 3 Schedule'!$G$2:$G$500=$F$28),--('Week 3 Schedule'!$I$2:$I$500=$A31),--('Week 3 Schedule'!$J$2:$J$500&gt;'Week 3 Schedule'!$H$2:$H$500)))+(SUMPRODUCT(--('Week 4 Schedule'!$B$2:$B$500=$A31),--('Week 4 Schedule'!$D$2:$D$500=$F$28),--('Week 4 Schedule'!$C$2:$C$500&gt;'Week 4 Schedule'!$E$2:$E$500))+SUMPRODUCT(--('Week 4 Schedule'!$B$2:$B$500=$F$28),--('Week 4 Schedule'!$D$2:$D$500=$A31),--('Week 4 Schedule'!$E$2:$E$500&gt;'Week 4 Schedule'!$C$2:$C$500)))+(SUMPRODUCT(--('Week 4 Schedule'!$G$2:$G$500=$A31),--('Week 4 Schedule'!$I$2:$I$500=$F$28),--('Week 4 Schedule'!$H$2:$H$500&gt;'Week 4 Schedule'!$J$2:$J$500))+SUMPRODUCT(--('Week 4 Schedule'!$G$2:$G$500=$F$28),--('Week 4 Schedule'!$I$2:$I$500=$A31),--('Week 4 Schedule'!$J$2:$J$500&gt;'Week 4 Schedule'!$H$2:$H$500)))+(SUMPRODUCT(--('Week 5 Schedule'!$B$2:$B$500=$A31),--('Week 5 Schedule'!$D$2:$D$500=$F$28),--('Week 5 Schedule'!$C$2:$C$500&gt;'Week 5 Schedule'!$E$2:$E$500))+SUMPRODUCT(--('Week 5 Schedule'!$B$2:$B$500=$F$28),--('Week 5 Schedule'!$D$2:$D$500=$A31),--('Week 5 Schedule'!$E$2:$E$500&gt;'Week 5 Schedule'!$C$2:$C$500)))+(SUMPRODUCT(--('Week 5 Schedule'!$G$2:$G$500=$A31),--('Week 5 Schedule'!$I$2:$I$500=$F$28),--('Week 5 Schedule'!$H$2:$H$500&gt;'Week 5 Schedule'!$J$2:$J$500))+SUMPRODUCT(--('Week 5 Schedule'!$G$2:$G$500=$F$28),--('Week 5 Schedule'!$I$2:$I$500=$A31),--('Week 5 Schedule'!$J$2:$J$500&gt;'Week 5 Schedule'!$H$2:$H$500)))+(SUMPRODUCT(--('Week 6 Schedule'!$B$2:$B$500=$A31),--('Week 6 Schedule'!$D$2:$D$500=$F$28),--('Week 6 Schedule'!$C$2:$C$500&gt;'Week 6 Schedule'!$E$2:$E$500))+SUMPRODUCT(--('Week 6 Schedule'!$B$2:$B$500=$F$28),--('Week 6 Schedule'!$D$2:$D$500=$A31),--('Week 6 Schedule'!$E$2:$E$500&gt;'Week 6 Schedule'!$C$2:$C$500)))+(SUMPRODUCT(--('Week 6 Schedule'!$G$2:$G$500=$A31),--('Week 6 Schedule'!$I$2:$I$500=$F$28),--('Week 6 Schedule'!$H$2:$H$500&gt;'Week 6 Schedule'!$J$2:$J$500))+SUMPRODUCT(--('Week 6 Schedule'!$G$2:$G$500=$F$28),--('Week 6 Schedule'!$I$2:$I$500=$A31),--('Week 6 Schedule'!$J$2:$J$500&gt;'Week 6 Schedule'!$H$2:$H$500)))</f>
        <v/>
      </c>
      <c r="G31" s="9">
        <f>(SUMPRODUCT(--('Week 1 Schedule'!$B$2:$B$500=$A31),--('Week 1 Schedule'!$D$2:$D$500=$G$28),--('Week 1 Schedule'!$C$2:$C$500&gt;'Week 1 Schedule'!$E$2:$E$500))+SUMPRODUCT(--('Week 1 Schedule'!$B$2:$B$500=$G$28),--('Week 1 Schedule'!$D$2:$D$500=$A31),--('Week 1 Schedule'!$E$2:$E$500&gt;'Week 1 Schedule'!$C$2:$C$500)))+(SUMPRODUCT(--('Week 1 Schedule'!$G$2:$G$500=$A31),--('Week 1 Schedule'!$I$2:$I$500=$G$28),--('Week 1 Schedule'!$H$2:$H$500&gt;'Week 1 Schedule'!$J$2:$J$500))+SUMPRODUCT(--('Week 1 Schedule'!$G$2:$G$500=$G$28),--('Week 1 Schedule'!$I$2:$I$500=$A31),--('Week 1 Schedule'!$J$2:$J$500&gt;'Week 1 Schedule'!$H$2:$H$500)))+(SUMPRODUCT(--('Week 2 Schedule'!$B$2:$B$500=$A31),--('Week 2 Schedule'!$D$2:$D$500=$G$28),--('Week 2 Schedule'!$C$2:$C$500&gt;'Week 2 Schedule'!$E$2:$E$500))+SUMPRODUCT(--('Week 2 Schedule'!$B$2:$B$500=$G$28),--('Week 2 Schedule'!$D$2:$D$500=$A31),--('Week 2 Schedule'!$E$2:$E$500&gt;'Week 2 Schedule'!$C$2:$C$500)))+(SUMPRODUCT(--('Week 2 Schedule'!$G$2:$G$500=$A31),--('Week 2 Schedule'!$I$2:$I$500=$G$28),--('Week 2 Schedule'!$H$2:$H$500&gt;'Week 2 Schedule'!$J$2:$J$500))+SUMPRODUCT(--('Week 2 Schedule'!$G$2:$G$500=$G$28),--('Week 2 Schedule'!$I$2:$I$500=$A31),--('Week 2 Schedule'!$J$2:$J$500&gt;'Week 2 Schedule'!$H$2:$H$500)))+(SUMPRODUCT(--('Week 3 Schedule'!$B$2:$B$500=$A31),--('Week 3 Schedule'!$D$2:$D$500=$G$28),--('Week 3 Schedule'!$C$2:$C$500&gt;'Week 3 Schedule'!$E$2:$E$500))+SUMPRODUCT(--('Week 3 Schedule'!$B$2:$B$500=$G$28),--('Week 3 Schedule'!$D$2:$D$500=$A31),--('Week 3 Schedule'!$E$2:$E$500&gt;'Week 3 Schedule'!$C$2:$C$500)))+(SUMPRODUCT(--('Week 3 Schedule'!$G$2:$G$500=$A31),--('Week 3 Schedule'!$I$2:$I$500=$G$28),--('Week 3 Schedule'!$H$2:$H$500&gt;'Week 3 Schedule'!$J$2:$J$500))+SUMPRODUCT(--('Week 3 Schedule'!$G$2:$G$500=$G$28),--('Week 3 Schedule'!$I$2:$I$500=$A31),--('Week 3 Schedule'!$J$2:$J$500&gt;'Week 3 Schedule'!$H$2:$H$500)))+(SUMPRODUCT(--('Week 4 Schedule'!$B$2:$B$500=$A31),--('Week 4 Schedule'!$D$2:$D$500=$G$28),--('Week 4 Schedule'!$C$2:$C$500&gt;'Week 4 Schedule'!$E$2:$E$500))+SUMPRODUCT(--('Week 4 Schedule'!$B$2:$B$500=$G$28),--('Week 4 Schedule'!$D$2:$D$500=$A31),--('Week 4 Schedule'!$E$2:$E$500&gt;'Week 4 Schedule'!$C$2:$C$500)))+(SUMPRODUCT(--('Week 4 Schedule'!$G$2:$G$500=$A31),--('Week 4 Schedule'!$I$2:$I$500=$G$28),--('Week 4 Schedule'!$H$2:$H$500&gt;'Week 4 Schedule'!$J$2:$J$500))+SUMPRODUCT(--('Week 4 Schedule'!$G$2:$G$500=$G$28),--('Week 4 Schedule'!$I$2:$I$500=$A31),--('Week 4 Schedule'!$J$2:$J$500&gt;'Week 4 Schedule'!$H$2:$H$500)))+(SUMPRODUCT(--('Week 5 Schedule'!$B$2:$B$500=$A31),--('Week 5 Schedule'!$D$2:$D$500=$G$28),--('Week 5 Schedule'!$C$2:$C$500&gt;'Week 5 Schedule'!$E$2:$E$500))+SUMPRODUCT(--('Week 5 Schedule'!$B$2:$B$500=$G$28),--('Week 5 Schedule'!$D$2:$D$500=$A31),--('Week 5 Schedule'!$E$2:$E$500&gt;'Week 5 Schedule'!$C$2:$C$500)))+(SUMPRODUCT(--('Week 5 Schedule'!$G$2:$G$500=$A31),--('Week 5 Schedule'!$I$2:$I$500=$G$28),--('Week 5 Schedule'!$H$2:$H$500&gt;'Week 5 Schedule'!$J$2:$J$500))+SUMPRODUCT(--('Week 5 Schedule'!$G$2:$G$500=$G$28),--('Week 5 Schedule'!$I$2:$I$500=$A31),--('Week 5 Schedule'!$J$2:$J$500&gt;'Week 5 Schedule'!$H$2:$H$500)))+(SUMPRODUCT(--('Week 6 Schedule'!$B$2:$B$500=$A31),--('Week 6 Schedule'!$D$2:$D$500=$G$28),--('Week 6 Schedule'!$C$2:$C$500&gt;'Week 6 Schedule'!$E$2:$E$500))+SUMPRODUCT(--('Week 6 Schedule'!$B$2:$B$500=$G$28),--('Week 6 Schedule'!$D$2:$D$500=$A31),--('Week 6 Schedule'!$E$2:$E$500&gt;'Week 6 Schedule'!$C$2:$C$500)))+(SUMPRODUCT(--('Week 6 Schedule'!$G$2:$G$500=$A31),--('Week 6 Schedule'!$I$2:$I$500=$G$28),--('Week 6 Schedule'!$H$2:$H$500&gt;'Week 6 Schedule'!$J$2:$J$500))+SUMPRODUCT(--('Week 6 Schedule'!$G$2:$G$500=$G$28),--('Week 6 Schedule'!$I$2:$I$500=$A31),--('Week 6 Schedule'!$J$2:$J$500&gt;'Week 6 Schedule'!$H$2:$H$500)))</f>
        <v/>
      </c>
      <c r="H31" s="9">
        <f>(SUMPRODUCT(--('Week 1 Schedule'!$B$2:$B$500=$A31),--('Week 1 Schedule'!$D$2:$D$500=$H$28),--('Week 1 Schedule'!$C$2:$C$500&gt;'Week 1 Schedule'!$E$2:$E$500))+SUMPRODUCT(--('Week 1 Schedule'!$B$2:$B$500=$H$28),--('Week 1 Schedule'!$D$2:$D$500=$A31),--('Week 1 Schedule'!$E$2:$E$500&gt;'Week 1 Schedule'!$C$2:$C$500)))+(SUMPRODUCT(--('Week 1 Schedule'!$G$2:$G$500=$A31),--('Week 1 Schedule'!$I$2:$I$500=$H$28),--('Week 1 Schedule'!$H$2:$H$500&gt;'Week 1 Schedule'!$J$2:$J$500))+SUMPRODUCT(--('Week 1 Schedule'!$G$2:$G$500=$H$28),--('Week 1 Schedule'!$I$2:$I$500=$A31),--('Week 1 Schedule'!$J$2:$J$500&gt;'Week 1 Schedule'!$H$2:$H$500)))+(SUMPRODUCT(--('Week 2 Schedule'!$B$2:$B$500=$A31),--('Week 2 Schedule'!$D$2:$D$500=$H$28),--('Week 2 Schedule'!$C$2:$C$500&gt;'Week 2 Schedule'!$E$2:$E$500))+SUMPRODUCT(--('Week 2 Schedule'!$B$2:$B$500=$H$28),--('Week 2 Schedule'!$D$2:$D$500=$A31),--('Week 2 Schedule'!$E$2:$E$500&gt;'Week 2 Schedule'!$C$2:$C$500)))+(SUMPRODUCT(--('Week 2 Schedule'!$G$2:$G$500=$A31),--('Week 2 Schedule'!$I$2:$I$500=$H$28),--('Week 2 Schedule'!$H$2:$H$500&gt;'Week 2 Schedule'!$J$2:$J$500))+SUMPRODUCT(--('Week 2 Schedule'!$G$2:$G$500=$H$28),--('Week 2 Schedule'!$I$2:$I$500=$A31),--('Week 2 Schedule'!$J$2:$J$500&gt;'Week 2 Schedule'!$H$2:$H$500)))+(SUMPRODUCT(--('Week 3 Schedule'!$B$2:$B$500=$A31),--('Week 3 Schedule'!$D$2:$D$500=$H$28),--('Week 3 Schedule'!$C$2:$C$500&gt;'Week 3 Schedule'!$E$2:$E$500))+SUMPRODUCT(--('Week 3 Schedule'!$B$2:$B$500=$H$28),--('Week 3 Schedule'!$D$2:$D$500=$A31),--('Week 3 Schedule'!$E$2:$E$500&gt;'Week 3 Schedule'!$C$2:$C$500)))+(SUMPRODUCT(--('Week 3 Schedule'!$G$2:$G$500=$A31),--('Week 3 Schedule'!$I$2:$I$500=$H$28),--('Week 3 Schedule'!$H$2:$H$500&gt;'Week 3 Schedule'!$J$2:$J$500))+SUMPRODUCT(--('Week 3 Schedule'!$G$2:$G$500=$H$28),--('Week 3 Schedule'!$I$2:$I$500=$A31),--('Week 3 Schedule'!$J$2:$J$500&gt;'Week 3 Schedule'!$H$2:$H$500)))+(SUMPRODUCT(--('Week 4 Schedule'!$B$2:$B$500=$A31),--('Week 4 Schedule'!$D$2:$D$500=$H$28),--('Week 4 Schedule'!$C$2:$C$500&gt;'Week 4 Schedule'!$E$2:$E$500))+SUMPRODUCT(--('Week 4 Schedule'!$B$2:$B$500=$H$28),--('Week 4 Schedule'!$D$2:$D$500=$A31),--('Week 4 Schedule'!$E$2:$E$500&gt;'Week 4 Schedule'!$C$2:$C$500)))+(SUMPRODUCT(--('Week 4 Schedule'!$G$2:$G$500=$A31),--('Week 4 Schedule'!$I$2:$I$500=$H$28),--('Week 4 Schedule'!$H$2:$H$500&gt;'Week 4 Schedule'!$J$2:$J$500))+SUMPRODUCT(--('Week 4 Schedule'!$G$2:$G$500=$H$28),--('Week 4 Schedule'!$I$2:$I$500=$A31),--('Week 4 Schedule'!$J$2:$J$500&gt;'Week 4 Schedule'!$H$2:$H$500)))+(SUMPRODUCT(--('Week 5 Schedule'!$B$2:$B$500=$A31),--('Week 5 Schedule'!$D$2:$D$500=$H$28),--('Week 5 Schedule'!$C$2:$C$500&gt;'Week 5 Schedule'!$E$2:$E$500))+SUMPRODUCT(--('Week 5 Schedule'!$B$2:$B$500=$H$28),--('Week 5 Schedule'!$D$2:$D$500=$A31),--('Week 5 Schedule'!$E$2:$E$500&gt;'Week 5 Schedule'!$C$2:$C$500)))+(SUMPRODUCT(--('Week 5 Schedule'!$G$2:$G$500=$A31),--('Week 5 Schedule'!$I$2:$I$500=$H$28),--('Week 5 Schedule'!$H$2:$H$500&gt;'Week 5 Schedule'!$J$2:$J$500))+SUMPRODUCT(--('Week 5 Schedule'!$G$2:$G$500=$H$28),--('Week 5 Schedule'!$I$2:$I$500=$A31),--('Week 5 Schedule'!$J$2:$J$500&gt;'Week 5 Schedule'!$H$2:$H$500)))+(SUMPRODUCT(--('Week 6 Schedule'!$B$2:$B$500=$A31),--('Week 6 Schedule'!$D$2:$D$500=$H$28),--('Week 6 Schedule'!$C$2:$C$500&gt;'Week 6 Schedule'!$E$2:$E$500))+SUMPRODUCT(--('Week 6 Schedule'!$B$2:$B$500=$H$28),--('Week 6 Schedule'!$D$2:$D$500=$A31),--('Week 6 Schedule'!$E$2:$E$500&gt;'Week 6 Schedule'!$C$2:$C$500)))+(SUMPRODUCT(--('Week 6 Schedule'!$G$2:$G$500=$A31),--('Week 6 Schedule'!$I$2:$I$500=$H$28),--('Week 6 Schedule'!$H$2:$H$500&gt;'Week 6 Schedule'!$J$2:$J$500))+SUMPRODUCT(--('Week 6 Schedule'!$G$2:$G$500=$H$28),--('Week 6 Schedule'!$I$2:$I$500=$A31),--('Week 6 Schedule'!$J$2:$J$500&gt;'Week 6 Schedule'!$H$2:$H$500)))</f>
        <v/>
      </c>
      <c r="I31" s="9">
        <f>(SUMPRODUCT(--('Week 1 Schedule'!$B$2:$B$500=$A31),--('Week 1 Schedule'!$D$2:$D$500=$I$28),--('Week 1 Schedule'!$C$2:$C$500&gt;'Week 1 Schedule'!$E$2:$E$500))+SUMPRODUCT(--('Week 1 Schedule'!$B$2:$B$500=$I$28),--('Week 1 Schedule'!$D$2:$D$500=$A31),--('Week 1 Schedule'!$E$2:$E$500&gt;'Week 1 Schedule'!$C$2:$C$500)))+(SUMPRODUCT(--('Week 1 Schedule'!$G$2:$G$500=$A31),--('Week 1 Schedule'!$I$2:$I$500=$I$28),--('Week 1 Schedule'!$H$2:$H$500&gt;'Week 1 Schedule'!$J$2:$J$500))+SUMPRODUCT(--('Week 1 Schedule'!$G$2:$G$500=$I$28),--('Week 1 Schedule'!$I$2:$I$500=$A31),--('Week 1 Schedule'!$J$2:$J$500&gt;'Week 1 Schedule'!$H$2:$H$500)))+(SUMPRODUCT(--('Week 2 Schedule'!$B$2:$B$500=$A31),--('Week 2 Schedule'!$D$2:$D$500=$I$28),--('Week 2 Schedule'!$C$2:$C$500&gt;'Week 2 Schedule'!$E$2:$E$500))+SUMPRODUCT(--('Week 2 Schedule'!$B$2:$B$500=$I$28),--('Week 2 Schedule'!$D$2:$D$500=$A31),--('Week 2 Schedule'!$E$2:$E$500&gt;'Week 2 Schedule'!$C$2:$C$500)))+(SUMPRODUCT(--('Week 2 Schedule'!$G$2:$G$500=$A31),--('Week 2 Schedule'!$I$2:$I$500=$I$28),--('Week 2 Schedule'!$H$2:$H$500&gt;'Week 2 Schedule'!$J$2:$J$500))+SUMPRODUCT(--('Week 2 Schedule'!$G$2:$G$500=$I$28),--('Week 2 Schedule'!$I$2:$I$500=$A31),--('Week 2 Schedule'!$J$2:$J$500&gt;'Week 2 Schedule'!$H$2:$H$500)))+(SUMPRODUCT(--('Week 3 Schedule'!$B$2:$B$500=$A31),--('Week 3 Schedule'!$D$2:$D$500=$I$28),--('Week 3 Schedule'!$C$2:$C$500&gt;'Week 3 Schedule'!$E$2:$E$500))+SUMPRODUCT(--('Week 3 Schedule'!$B$2:$B$500=$I$28),--('Week 3 Schedule'!$D$2:$D$500=$A31),--('Week 3 Schedule'!$E$2:$E$500&gt;'Week 3 Schedule'!$C$2:$C$500)))+(SUMPRODUCT(--('Week 3 Schedule'!$G$2:$G$500=$A31),--('Week 3 Schedule'!$I$2:$I$500=$I$28),--('Week 3 Schedule'!$H$2:$H$500&gt;'Week 3 Schedule'!$J$2:$J$500))+SUMPRODUCT(--('Week 3 Schedule'!$G$2:$G$500=$I$28),--('Week 3 Schedule'!$I$2:$I$500=$A31),--('Week 3 Schedule'!$J$2:$J$500&gt;'Week 3 Schedule'!$H$2:$H$500)))+(SUMPRODUCT(--('Week 4 Schedule'!$B$2:$B$500=$A31),--('Week 4 Schedule'!$D$2:$D$500=$I$28),--('Week 4 Schedule'!$C$2:$C$500&gt;'Week 4 Schedule'!$E$2:$E$500))+SUMPRODUCT(--('Week 4 Schedule'!$B$2:$B$500=$I$28),--('Week 4 Schedule'!$D$2:$D$500=$A31),--('Week 4 Schedule'!$E$2:$E$500&gt;'Week 4 Schedule'!$C$2:$C$500)))+(SUMPRODUCT(--('Week 4 Schedule'!$G$2:$G$500=$A31),--('Week 4 Schedule'!$I$2:$I$500=$I$28),--('Week 4 Schedule'!$H$2:$H$500&gt;'Week 4 Schedule'!$J$2:$J$500))+SUMPRODUCT(--('Week 4 Schedule'!$G$2:$G$500=$I$28),--('Week 4 Schedule'!$I$2:$I$500=$A31),--('Week 4 Schedule'!$J$2:$J$500&gt;'Week 4 Schedule'!$H$2:$H$500)))+(SUMPRODUCT(--('Week 5 Schedule'!$B$2:$B$500=$A31),--('Week 5 Schedule'!$D$2:$D$500=$I$28),--('Week 5 Schedule'!$C$2:$C$500&gt;'Week 5 Schedule'!$E$2:$E$500))+SUMPRODUCT(--('Week 5 Schedule'!$B$2:$B$500=$I$28),--('Week 5 Schedule'!$D$2:$D$500=$A31),--('Week 5 Schedule'!$E$2:$E$500&gt;'Week 5 Schedule'!$C$2:$C$500)))+(SUMPRODUCT(--('Week 5 Schedule'!$G$2:$G$500=$A31),--('Week 5 Schedule'!$I$2:$I$500=$I$28),--('Week 5 Schedule'!$H$2:$H$500&gt;'Week 5 Schedule'!$J$2:$J$500))+SUMPRODUCT(--('Week 5 Schedule'!$G$2:$G$500=$I$28),--('Week 5 Schedule'!$I$2:$I$500=$A31),--('Week 5 Schedule'!$J$2:$J$500&gt;'Week 5 Schedule'!$H$2:$H$500)))+(SUMPRODUCT(--('Week 6 Schedule'!$B$2:$B$500=$A31),--('Week 6 Schedule'!$D$2:$D$500=$I$28),--('Week 6 Schedule'!$C$2:$C$500&gt;'Week 6 Schedule'!$E$2:$E$500))+SUMPRODUCT(--('Week 6 Schedule'!$B$2:$B$500=$I$28),--('Week 6 Schedule'!$D$2:$D$500=$A31),--('Week 6 Schedule'!$E$2:$E$500&gt;'Week 6 Schedule'!$C$2:$C$500)))+(SUMPRODUCT(--('Week 6 Schedule'!$G$2:$G$500=$A31),--('Week 6 Schedule'!$I$2:$I$500=$I$28),--('Week 6 Schedule'!$H$2:$H$500&gt;'Week 6 Schedule'!$J$2:$J$500))+SUMPRODUCT(--('Week 6 Schedule'!$G$2:$G$500=$I$28),--('Week 6 Schedule'!$I$2:$I$500=$A31),--('Week 6 Schedule'!$J$2:$J$500&gt;'Week 6 Schedule'!$H$2:$H$500)))</f>
        <v/>
      </c>
      <c r="J31" s="9" t="n"/>
      <c r="K31" s="9" t="n"/>
      <c r="L31" s="9" t="n"/>
      <c r="M31" s="9" t="n"/>
    </row>
    <row r="32">
      <c r="A32" s="9" t="inlineStr">
        <is>
          <t>Team 4</t>
        </is>
      </c>
      <c r="B32" s="9">
        <f>(SUMPRODUCT(--('Week 1 Schedule'!$B$2:$B$500=$A32),--('Week 1 Schedule'!$D$2:$D$500=$B$28),--('Week 1 Schedule'!$C$2:$C$500&gt;'Week 1 Schedule'!$E$2:$E$500))+SUMPRODUCT(--('Week 1 Schedule'!$B$2:$B$500=$B$28),--('Week 1 Schedule'!$D$2:$D$500=$A32),--('Week 1 Schedule'!$E$2:$E$500&gt;'Week 1 Schedule'!$C$2:$C$500)))+(SUMPRODUCT(--('Week 1 Schedule'!$G$2:$G$500=$A32),--('Week 1 Schedule'!$I$2:$I$500=$B$28),--('Week 1 Schedule'!$H$2:$H$500&gt;'Week 1 Schedule'!$J$2:$J$500))+SUMPRODUCT(--('Week 1 Schedule'!$G$2:$G$500=$B$28),--('Week 1 Schedule'!$I$2:$I$500=$A32),--('Week 1 Schedule'!$J$2:$J$500&gt;'Week 1 Schedule'!$H$2:$H$500)))+(SUMPRODUCT(--('Week 2 Schedule'!$B$2:$B$500=$A32),--('Week 2 Schedule'!$D$2:$D$500=$B$28),--('Week 2 Schedule'!$C$2:$C$500&gt;'Week 2 Schedule'!$E$2:$E$500))+SUMPRODUCT(--('Week 2 Schedule'!$B$2:$B$500=$B$28),--('Week 2 Schedule'!$D$2:$D$500=$A32),--('Week 2 Schedule'!$E$2:$E$500&gt;'Week 2 Schedule'!$C$2:$C$500)))+(SUMPRODUCT(--('Week 2 Schedule'!$G$2:$G$500=$A32),--('Week 2 Schedule'!$I$2:$I$500=$B$28),--('Week 2 Schedule'!$H$2:$H$500&gt;'Week 2 Schedule'!$J$2:$J$500))+SUMPRODUCT(--('Week 2 Schedule'!$G$2:$G$500=$B$28),--('Week 2 Schedule'!$I$2:$I$500=$A32),--('Week 2 Schedule'!$J$2:$J$500&gt;'Week 2 Schedule'!$H$2:$H$500)))+(SUMPRODUCT(--('Week 3 Schedule'!$B$2:$B$500=$A32),--('Week 3 Schedule'!$D$2:$D$500=$B$28),--('Week 3 Schedule'!$C$2:$C$500&gt;'Week 3 Schedule'!$E$2:$E$500))+SUMPRODUCT(--('Week 3 Schedule'!$B$2:$B$500=$B$28),--('Week 3 Schedule'!$D$2:$D$500=$A32),--('Week 3 Schedule'!$E$2:$E$500&gt;'Week 3 Schedule'!$C$2:$C$500)))+(SUMPRODUCT(--('Week 3 Schedule'!$G$2:$G$500=$A32),--('Week 3 Schedule'!$I$2:$I$500=$B$28),--('Week 3 Schedule'!$H$2:$H$500&gt;'Week 3 Schedule'!$J$2:$J$500))+SUMPRODUCT(--('Week 3 Schedule'!$G$2:$G$500=$B$28),--('Week 3 Schedule'!$I$2:$I$500=$A32),--('Week 3 Schedule'!$J$2:$J$500&gt;'Week 3 Schedule'!$H$2:$H$500)))+(SUMPRODUCT(--('Week 4 Schedule'!$B$2:$B$500=$A32),--('Week 4 Schedule'!$D$2:$D$500=$B$28),--('Week 4 Schedule'!$C$2:$C$500&gt;'Week 4 Schedule'!$E$2:$E$500))+SUMPRODUCT(--('Week 4 Schedule'!$B$2:$B$500=$B$28),--('Week 4 Schedule'!$D$2:$D$500=$A32),--('Week 4 Schedule'!$E$2:$E$500&gt;'Week 4 Schedule'!$C$2:$C$500)))+(SUMPRODUCT(--('Week 4 Schedule'!$G$2:$G$500=$A32),--('Week 4 Schedule'!$I$2:$I$500=$B$28),--('Week 4 Schedule'!$H$2:$H$500&gt;'Week 4 Schedule'!$J$2:$J$500))+SUMPRODUCT(--('Week 4 Schedule'!$G$2:$G$500=$B$28),--('Week 4 Schedule'!$I$2:$I$500=$A32),--('Week 4 Schedule'!$J$2:$J$500&gt;'Week 4 Schedule'!$H$2:$H$500)))+(SUMPRODUCT(--('Week 5 Schedule'!$B$2:$B$500=$A32),--('Week 5 Schedule'!$D$2:$D$500=$B$28),--('Week 5 Schedule'!$C$2:$C$500&gt;'Week 5 Schedule'!$E$2:$E$500))+SUMPRODUCT(--('Week 5 Schedule'!$B$2:$B$500=$B$28),--('Week 5 Schedule'!$D$2:$D$500=$A32),--('Week 5 Schedule'!$E$2:$E$500&gt;'Week 5 Schedule'!$C$2:$C$500)))+(SUMPRODUCT(--('Week 5 Schedule'!$G$2:$G$500=$A32),--('Week 5 Schedule'!$I$2:$I$500=$B$28),--('Week 5 Schedule'!$H$2:$H$500&gt;'Week 5 Schedule'!$J$2:$J$500))+SUMPRODUCT(--('Week 5 Schedule'!$G$2:$G$500=$B$28),--('Week 5 Schedule'!$I$2:$I$500=$A32),--('Week 5 Schedule'!$J$2:$J$500&gt;'Week 5 Schedule'!$H$2:$H$500)))+(SUMPRODUCT(--('Week 6 Schedule'!$B$2:$B$500=$A32),--('Week 6 Schedule'!$D$2:$D$500=$B$28),--('Week 6 Schedule'!$C$2:$C$500&gt;'Week 6 Schedule'!$E$2:$E$500))+SUMPRODUCT(--('Week 6 Schedule'!$B$2:$B$500=$B$28),--('Week 6 Schedule'!$D$2:$D$500=$A32),--('Week 6 Schedule'!$E$2:$E$500&gt;'Week 6 Schedule'!$C$2:$C$500)))+(SUMPRODUCT(--('Week 6 Schedule'!$G$2:$G$500=$A32),--('Week 6 Schedule'!$I$2:$I$500=$B$28),--('Week 6 Schedule'!$H$2:$H$500&gt;'Week 6 Schedule'!$J$2:$J$500))+SUMPRODUCT(--('Week 6 Schedule'!$G$2:$G$500=$B$28),--('Week 6 Schedule'!$I$2:$I$500=$A32),--('Week 6 Schedule'!$J$2:$J$500&gt;'Week 6 Schedule'!$H$2:$H$500)))</f>
        <v/>
      </c>
      <c r="C32" s="9">
        <f>(SUMPRODUCT(--('Week 1 Schedule'!$B$2:$B$500=$A32),--('Week 1 Schedule'!$D$2:$D$500=$C$28),--('Week 1 Schedule'!$C$2:$C$500&gt;'Week 1 Schedule'!$E$2:$E$500))+SUMPRODUCT(--('Week 1 Schedule'!$B$2:$B$500=$C$28),--('Week 1 Schedule'!$D$2:$D$500=$A32),--('Week 1 Schedule'!$E$2:$E$500&gt;'Week 1 Schedule'!$C$2:$C$500)))+(SUMPRODUCT(--('Week 1 Schedule'!$G$2:$G$500=$A32),--('Week 1 Schedule'!$I$2:$I$500=$C$28),--('Week 1 Schedule'!$H$2:$H$500&gt;'Week 1 Schedule'!$J$2:$J$500))+SUMPRODUCT(--('Week 1 Schedule'!$G$2:$G$500=$C$28),--('Week 1 Schedule'!$I$2:$I$500=$A32),--('Week 1 Schedule'!$J$2:$J$500&gt;'Week 1 Schedule'!$H$2:$H$500)))+(SUMPRODUCT(--('Week 2 Schedule'!$B$2:$B$500=$A32),--('Week 2 Schedule'!$D$2:$D$500=$C$28),--('Week 2 Schedule'!$C$2:$C$500&gt;'Week 2 Schedule'!$E$2:$E$500))+SUMPRODUCT(--('Week 2 Schedule'!$B$2:$B$500=$C$28),--('Week 2 Schedule'!$D$2:$D$500=$A32),--('Week 2 Schedule'!$E$2:$E$500&gt;'Week 2 Schedule'!$C$2:$C$500)))+(SUMPRODUCT(--('Week 2 Schedule'!$G$2:$G$500=$A32),--('Week 2 Schedule'!$I$2:$I$500=$C$28),--('Week 2 Schedule'!$H$2:$H$500&gt;'Week 2 Schedule'!$J$2:$J$500))+SUMPRODUCT(--('Week 2 Schedule'!$G$2:$G$500=$C$28),--('Week 2 Schedule'!$I$2:$I$500=$A32),--('Week 2 Schedule'!$J$2:$J$500&gt;'Week 2 Schedule'!$H$2:$H$500)))+(SUMPRODUCT(--('Week 3 Schedule'!$B$2:$B$500=$A32),--('Week 3 Schedule'!$D$2:$D$500=$C$28),--('Week 3 Schedule'!$C$2:$C$500&gt;'Week 3 Schedule'!$E$2:$E$500))+SUMPRODUCT(--('Week 3 Schedule'!$B$2:$B$500=$C$28),--('Week 3 Schedule'!$D$2:$D$500=$A32),--('Week 3 Schedule'!$E$2:$E$500&gt;'Week 3 Schedule'!$C$2:$C$500)))+(SUMPRODUCT(--('Week 3 Schedule'!$G$2:$G$500=$A32),--('Week 3 Schedule'!$I$2:$I$500=$C$28),--('Week 3 Schedule'!$H$2:$H$500&gt;'Week 3 Schedule'!$J$2:$J$500))+SUMPRODUCT(--('Week 3 Schedule'!$G$2:$G$500=$C$28),--('Week 3 Schedule'!$I$2:$I$500=$A32),--('Week 3 Schedule'!$J$2:$J$500&gt;'Week 3 Schedule'!$H$2:$H$500)))+(SUMPRODUCT(--('Week 4 Schedule'!$B$2:$B$500=$A32),--('Week 4 Schedule'!$D$2:$D$500=$C$28),--('Week 4 Schedule'!$C$2:$C$500&gt;'Week 4 Schedule'!$E$2:$E$500))+SUMPRODUCT(--('Week 4 Schedule'!$B$2:$B$500=$C$28),--('Week 4 Schedule'!$D$2:$D$500=$A32),--('Week 4 Schedule'!$E$2:$E$500&gt;'Week 4 Schedule'!$C$2:$C$500)))+(SUMPRODUCT(--('Week 4 Schedule'!$G$2:$G$500=$A32),--('Week 4 Schedule'!$I$2:$I$500=$C$28),--('Week 4 Schedule'!$H$2:$H$500&gt;'Week 4 Schedule'!$J$2:$J$500))+SUMPRODUCT(--('Week 4 Schedule'!$G$2:$G$500=$C$28),--('Week 4 Schedule'!$I$2:$I$500=$A32),--('Week 4 Schedule'!$J$2:$J$500&gt;'Week 4 Schedule'!$H$2:$H$500)))+(SUMPRODUCT(--('Week 5 Schedule'!$B$2:$B$500=$A32),--('Week 5 Schedule'!$D$2:$D$500=$C$28),--('Week 5 Schedule'!$C$2:$C$500&gt;'Week 5 Schedule'!$E$2:$E$500))+SUMPRODUCT(--('Week 5 Schedule'!$B$2:$B$500=$C$28),--('Week 5 Schedule'!$D$2:$D$500=$A32),--('Week 5 Schedule'!$E$2:$E$500&gt;'Week 5 Schedule'!$C$2:$C$500)))+(SUMPRODUCT(--('Week 5 Schedule'!$G$2:$G$500=$A32),--('Week 5 Schedule'!$I$2:$I$500=$C$28),--('Week 5 Schedule'!$H$2:$H$500&gt;'Week 5 Schedule'!$J$2:$J$500))+SUMPRODUCT(--('Week 5 Schedule'!$G$2:$G$500=$C$28),--('Week 5 Schedule'!$I$2:$I$500=$A32),--('Week 5 Schedule'!$J$2:$J$500&gt;'Week 5 Schedule'!$H$2:$H$500)))+(SUMPRODUCT(--('Week 6 Schedule'!$B$2:$B$500=$A32),--('Week 6 Schedule'!$D$2:$D$500=$C$28),--('Week 6 Schedule'!$C$2:$C$500&gt;'Week 6 Schedule'!$E$2:$E$500))+SUMPRODUCT(--('Week 6 Schedule'!$B$2:$B$500=$C$28),--('Week 6 Schedule'!$D$2:$D$500=$A32),--('Week 6 Schedule'!$E$2:$E$500&gt;'Week 6 Schedule'!$C$2:$C$500)))+(SUMPRODUCT(--('Week 6 Schedule'!$G$2:$G$500=$A32),--('Week 6 Schedule'!$I$2:$I$500=$C$28),--('Week 6 Schedule'!$H$2:$H$500&gt;'Week 6 Schedule'!$J$2:$J$500))+SUMPRODUCT(--('Week 6 Schedule'!$G$2:$G$500=$C$28),--('Week 6 Schedule'!$I$2:$I$500=$A32),--('Week 6 Schedule'!$J$2:$J$500&gt;'Week 6 Schedule'!$H$2:$H$500)))</f>
        <v/>
      </c>
      <c r="D32" s="9">
        <f>(SUMPRODUCT(--('Week 1 Schedule'!$B$2:$B$500=$A32),--('Week 1 Schedule'!$D$2:$D$500=$D$28),--('Week 1 Schedule'!$C$2:$C$500&gt;'Week 1 Schedule'!$E$2:$E$500))+SUMPRODUCT(--('Week 1 Schedule'!$B$2:$B$500=$D$28),--('Week 1 Schedule'!$D$2:$D$500=$A32),--('Week 1 Schedule'!$E$2:$E$500&gt;'Week 1 Schedule'!$C$2:$C$500)))+(SUMPRODUCT(--('Week 1 Schedule'!$G$2:$G$500=$A32),--('Week 1 Schedule'!$I$2:$I$500=$D$28),--('Week 1 Schedule'!$H$2:$H$500&gt;'Week 1 Schedule'!$J$2:$J$500))+SUMPRODUCT(--('Week 1 Schedule'!$G$2:$G$500=$D$28),--('Week 1 Schedule'!$I$2:$I$500=$A32),--('Week 1 Schedule'!$J$2:$J$500&gt;'Week 1 Schedule'!$H$2:$H$500)))+(SUMPRODUCT(--('Week 2 Schedule'!$B$2:$B$500=$A32),--('Week 2 Schedule'!$D$2:$D$500=$D$28),--('Week 2 Schedule'!$C$2:$C$500&gt;'Week 2 Schedule'!$E$2:$E$500))+SUMPRODUCT(--('Week 2 Schedule'!$B$2:$B$500=$D$28),--('Week 2 Schedule'!$D$2:$D$500=$A32),--('Week 2 Schedule'!$E$2:$E$500&gt;'Week 2 Schedule'!$C$2:$C$500)))+(SUMPRODUCT(--('Week 2 Schedule'!$G$2:$G$500=$A32),--('Week 2 Schedule'!$I$2:$I$500=$D$28),--('Week 2 Schedule'!$H$2:$H$500&gt;'Week 2 Schedule'!$J$2:$J$500))+SUMPRODUCT(--('Week 2 Schedule'!$G$2:$G$500=$D$28),--('Week 2 Schedule'!$I$2:$I$500=$A32),--('Week 2 Schedule'!$J$2:$J$500&gt;'Week 2 Schedule'!$H$2:$H$500)))+(SUMPRODUCT(--('Week 3 Schedule'!$B$2:$B$500=$A32),--('Week 3 Schedule'!$D$2:$D$500=$D$28),--('Week 3 Schedule'!$C$2:$C$500&gt;'Week 3 Schedule'!$E$2:$E$500))+SUMPRODUCT(--('Week 3 Schedule'!$B$2:$B$500=$D$28),--('Week 3 Schedule'!$D$2:$D$500=$A32),--('Week 3 Schedule'!$E$2:$E$500&gt;'Week 3 Schedule'!$C$2:$C$500)))+(SUMPRODUCT(--('Week 3 Schedule'!$G$2:$G$500=$A32),--('Week 3 Schedule'!$I$2:$I$500=$D$28),--('Week 3 Schedule'!$H$2:$H$500&gt;'Week 3 Schedule'!$J$2:$J$500))+SUMPRODUCT(--('Week 3 Schedule'!$G$2:$G$500=$D$28),--('Week 3 Schedule'!$I$2:$I$500=$A32),--('Week 3 Schedule'!$J$2:$J$500&gt;'Week 3 Schedule'!$H$2:$H$500)))+(SUMPRODUCT(--('Week 4 Schedule'!$B$2:$B$500=$A32),--('Week 4 Schedule'!$D$2:$D$500=$D$28),--('Week 4 Schedule'!$C$2:$C$500&gt;'Week 4 Schedule'!$E$2:$E$500))+SUMPRODUCT(--('Week 4 Schedule'!$B$2:$B$500=$D$28),--('Week 4 Schedule'!$D$2:$D$500=$A32),--('Week 4 Schedule'!$E$2:$E$500&gt;'Week 4 Schedule'!$C$2:$C$500)))+(SUMPRODUCT(--('Week 4 Schedule'!$G$2:$G$500=$A32),--('Week 4 Schedule'!$I$2:$I$500=$D$28),--('Week 4 Schedule'!$H$2:$H$500&gt;'Week 4 Schedule'!$J$2:$J$500))+SUMPRODUCT(--('Week 4 Schedule'!$G$2:$G$500=$D$28),--('Week 4 Schedule'!$I$2:$I$500=$A32),--('Week 4 Schedule'!$J$2:$J$500&gt;'Week 4 Schedule'!$H$2:$H$500)))+(SUMPRODUCT(--('Week 5 Schedule'!$B$2:$B$500=$A32),--('Week 5 Schedule'!$D$2:$D$500=$D$28),--('Week 5 Schedule'!$C$2:$C$500&gt;'Week 5 Schedule'!$E$2:$E$500))+SUMPRODUCT(--('Week 5 Schedule'!$B$2:$B$500=$D$28),--('Week 5 Schedule'!$D$2:$D$500=$A32),--('Week 5 Schedule'!$E$2:$E$500&gt;'Week 5 Schedule'!$C$2:$C$500)))+(SUMPRODUCT(--('Week 5 Schedule'!$G$2:$G$500=$A32),--('Week 5 Schedule'!$I$2:$I$500=$D$28),--('Week 5 Schedule'!$H$2:$H$500&gt;'Week 5 Schedule'!$J$2:$J$500))+SUMPRODUCT(--('Week 5 Schedule'!$G$2:$G$500=$D$28),--('Week 5 Schedule'!$I$2:$I$500=$A32),--('Week 5 Schedule'!$J$2:$J$500&gt;'Week 5 Schedule'!$H$2:$H$500)))+(SUMPRODUCT(--('Week 6 Schedule'!$B$2:$B$500=$A32),--('Week 6 Schedule'!$D$2:$D$500=$D$28),--('Week 6 Schedule'!$C$2:$C$500&gt;'Week 6 Schedule'!$E$2:$E$500))+SUMPRODUCT(--('Week 6 Schedule'!$B$2:$B$500=$D$28),--('Week 6 Schedule'!$D$2:$D$500=$A32),--('Week 6 Schedule'!$E$2:$E$500&gt;'Week 6 Schedule'!$C$2:$C$500)))+(SUMPRODUCT(--('Week 6 Schedule'!$G$2:$G$500=$A32),--('Week 6 Schedule'!$I$2:$I$500=$D$28),--('Week 6 Schedule'!$H$2:$H$500&gt;'Week 6 Schedule'!$J$2:$J$500))+SUMPRODUCT(--('Week 6 Schedule'!$G$2:$G$500=$D$28),--('Week 6 Schedule'!$I$2:$I$500=$A32),--('Week 6 Schedule'!$J$2:$J$500&gt;'Week 6 Schedule'!$H$2:$H$500)))</f>
        <v/>
      </c>
      <c r="E32" s="9" t="inlineStr">
        <is>
          <t>—</t>
        </is>
      </c>
      <c r="F32" s="9">
        <f>(SUMPRODUCT(--('Week 1 Schedule'!$B$2:$B$500=$A32),--('Week 1 Schedule'!$D$2:$D$500=$F$28),--('Week 1 Schedule'!$C$2:$C$500&gt;'Week 1 Schedule'!$E$2:$E$500))+SUMPRODUCT(--('Week 1 Schedule'!$B$2:$B$500=$F$28),--('Week 1 Schedule'!$D$2:$D$500=$A32),--('Week 1 Schedule'!$E$2:$E$500&gt;'Week 1 Schedule'!$C$2:$C$500)))+(SUMPRODUCT(--('Week 1 Schedule'!$G$2:$G$500=$A32),--('Week 1 Schedule'!$I$2:$I$500=$F$28),--('Week 1 Schedule'!$H$2:$H$500&gt;'Week 1 Schedule'!$J$2:$J$500))+SUMPRODUCT(--('Week 1 Schedule'!$G$2:$G$500=$F$28),--('Week 1 Schedule'!$I$2:$I$500=$A32),--('Week 1 Schedule'!$J$2:$J$500&gt;'Week 1 Schedule'!$H$2:$H$500)))+(SUMPRODUCT(--('Week 2 Schedule'!$B$2:$B$500=$A32),--('Week 2 Schedule'!$D$2:$D$500=$F$28),--('Week 2 Schedule'!$C$2:$C$500&gt;'Week 2 Schedule'!$E$2:$E$500))+SUMPRODUCT(--('Week 2 Schedule'!$B$2:$B$500=$F$28),--('Week 2 Schedule'!$D$2:$D$500=$A32),--('Week 2 Schedule'!$E$2:$E$500&gt;'Week 2 Schedule'!$C$2:$C$500)))+(SUMPRODUCT(--('Week 2 Schedule'!$G$2:$G$500=$A32),--('Week 2 Schedule'!$I$2:$I$500=$F$28),--('Week 2 Schedule'!$H$2:$H$500&gt;'Week 2 Schedule'!$J$2:$J$500))+SUMPRODUCT(--('Week 2 Schedule'!$G$2:$G$500=$F$28),--('Week 2 Schedule'!$I$2:$I$500=$A32),--('Week 2 Schedule'!$J$2:$J$500&gt;'Week 2 Schedule'!$H$2:$H$500)))+(SUMPRODUCT(--('Week 3 Schedule'!$B$2:$B$500=$A32),--('Week 3 Schedule'!$D$2:$D$500=$F$28),--('Week 3 Schedule'!$C$2:$C$500&gt;'Week 3 Schedule'!$E$2:$E$500))+SUMPRODUCT(--('Week 3 Schedule'!$B$2:$B$500=$F$28),--('Week 3 Schedule'!$D$2:$D$500=$A32),--('Week 3 Schedule'!$E$2:$E$500&gt;'Week 3 Schedule'!$C$2:$C$500)))+(SUMPRODUCT(--('Week 3 Schedule'!$G$2:$G$500=$A32),--('Week 3 Schedule'!$I$2:$I$500=$F$28),--('Week 3 Schedule'!$H$2:$H$500&gt;'Week 3 Schedule'!$J$2:$J$500))+SUMPRODUCT(--('Week 3 Schedule'!$G$2:$G$500=$F$28),--('Week 3 Schedule'!$I$2:$I$500=$A32),--('Week 3 Schedule'!$J$2:$J$500&gt;'Week 3 Schedule'!$H$2:$H$500)))+(SUMPRODUCT(--('Week 4 Schedule'!$B$2:$B$500=$A32),--('Week 4 Schedule'!$D$2:$D$500=$F$28),--('Week 4 Schedule'!$C$2:$C$500&gt;'Week 4 Schedule'!$E$2:$E$500))+SUMPRODUCT(--('Week 4 Schedule'!$B$2:$B$500=$F$28),--('Week 4 Schedule'!$D$2:$D$500=$A32),--('Week 4 Schedule'!$E$2:$E$500&gt;'Week 4 Schedule'!$C$2:$C$500)))+(SUMPRODUCT(--('Week 4 Schedule'!$G$2:$G$500=$A32),--('Week 4 Schedule'!$I$2:$I$500=$F$28),--('Week 4 Schedule'!$H$2:$H$500&gt;'Week 4 Schedule'!$J$2:$J$500))+SUMPRODUCT(--('Week 4 Schedule'!$G$2:$G$500=$F$28),--('Week 4 Schedule'!$I$2:$I$500=$A32),--('Week 4 Schedule'!$J$2:$J$500&gt;'Week 4 Schedule'!$H$2:$H$500)))+(SUMPRODUCT(--('Week 5 Schedule'!$B$2:$B$500=$A32),--('Week 5 Schedule'!$D$2:$D$500=$F$28),--('Week 5 Schedule'!$C$2:$C$500&gt;'Week 5 Schedule'!$E$2:$E$500))+SUMPRODUCT(--('Week 5 Schedule'!$B$2:$B$500=$F$28),--('Week 5 Schedule'!$D$2:$D$500=$A32),--('Week 5 Schedule'!$E$2:$E$500&gt;'Week 5 Schedule'!$C$2:$C$500)))+(SUMPRODUCT(--('Week 5 Schedule'!$G$2:$G$500=$A32),--('Week 5 Schedule'!$I$2:$I$500=$F$28),--('Week 5 Schedule'!$H$2:$H$500&gt;'Week 5 Schedule'!$J$2:$J$500))+SUMPRODUCT(--('Week 5 Schedule'!$G$2:$G$500=$F$28),--('Week 5 Schedule'!$I$2:$I$500=$A32),--('Week 5 Schedule'!$J$2:$J$500&gt;'Week 5 Schedule'!$H$2:$H$500)))+(SUMPRODUCT(--('Week 6 Schedule'!$B$2:$B$500=$A32),--('Week 6 Schedule'!$D$2:$D$500=$F$28),--('Week 6 Schedule'!$C$2:$C$500&gt;'Week 6 Schedule'!$E$2:$E$500))+SUMPRODUCT(--('Week 6 Schedule'!$B$2:$B$500=$F$28),--('Week 6 Schedule'!$D$2:$D$500=$A32),--('Week 6 Schedule'!$E$2:$E$500&gt;'Week 6 Schedule'!$C$2:$C$500)))+(SUMPRODUCT(--('Week 6 Schedule'!$G$2:$G$500=$A32),--('Week 6 Schedule'!$I$2:$I$500=$F$28),--('Week 6 Schedule'!$H$2:$H$500&gt;'Week 6 Schedule'!$J$2:$J$500))+SUMPRODUCT(--('Week 6 Schedule'!$G$2:$G$500=$F$28),--('Week 6 Schedule'!$I$2:$I$500=$A32),--('Week 6 Schedule'!$J$2:$J$500&gt;'Week 6 Schedule'!$H$2:$H$500)))</f>
        <v/>
      </c>
      <c r="G32" s="9">
        <f>(SUMPRODUCT(--('Week 1 Schedule'!$B$2:$B$500=$A32),--('Week 1 Schedule'!$D$2:$D$500=$G$28),--('Week 1 Schedule'!$C$2:$C$500&gt;'Week 1 Schedule'!$E$2:$E$500))+SUMPRODUCT(--('Week 1 Schedule'!$B$2:$B$500=$G$28),--('Week 1 Schedule'!$D$2:$D$500=$A32),--('Week 1 Schedule'!$E$2:$E$500&gt;'Week 1 Schedule'!$C$2:$C$500)))+(SUMPRODUCT(--('Week 1 Schedule'!$G$2:$G$500=$A32),--('Week 1 Schedule'!$I$2:$I$500=$G$28),--('Week 1 Schedule'!$H$2:$H$500&gt;'Week 1 Schedule'!$J$2:$J$500))+SUMPRODUCT(--('Week 1 Schedule'!$G$2:$G$500=$G$28),--('Week 1 Schedule'!$I$2:$I$500=$A32),--('Week 1 Schedule'!$J$2:$J$500&gt;'Week 1 Schedule'!$H$2:$H$500)))+(SUMPRODUCT(--('Week 2 Schedule'!$B$2:$B$500=$A32),--('Week 2 Schedule'!$D$2:$D$500=$G$28),--('Week 2 Schedule'!$C$2:$C$500&gt;'Week 2 Schedule'!$E$2:$E$500))+SUMPRODUCT(--('Week 2 Schedule'!$B$2:$B$500=$G$28),--('Week 2 Schedule'!$D$2:$D$500=$A32),--('Week 2 Schedule'!$E$2:$E$500&gt;'Week 2 Schedule'!$C$2:$C$500)))+(SUMPRODUCT(--('Week 2 Schedule'!$G$2:$G$500=$A32),--('Week 2 Schedule'!$I$2:$I$500=$G$28),--('Week 2 Schedule'!$H$2:$H$500&gt;'Week 2 Schedule'!$J$2:$J$500))+SUMPRODUCT(--('Week 2 Schedule'!$G$2:$G$500=$G$28),--('Week 2 Schedule'!$I$2:$I$500=$A32),--('Week 2 Schedule'!$J$2:$J$500&gt;'Week 2 Schedule'!$H$2:$H$500)))+(SUMPRODUCT(--('Week 3 Schedule'!$B$2:$B$500=$A32),--('Week 3 Schedule'!$D$2:$D$500=$G$28),--('Week 3 Schedule'!$C$2:$C$500&gt;'Week 3 Schedule'!$E$2:$E$500))+SUMPRODUCT(--('Week 3 Schedule'!$B$2:$B$500=$G$28),--('Week 3 Schedule'!$D$2:$D$500=$A32),--('Week 3 Schedule'!$E$2:$E$500&gt;'Week 3 Schedule'!$C$2:$C$500)))+(SUMPRODUCT(--('Week 3 Schedule'!$G$2:$G$500=$A32),--('Week 3 Schedule'!$I$2:$I$500=$G$28),--('Week 3 Schedule'!$H$2:$H$500&gt;'Week 3 Schedule'!$J$2:$J$500))+SUMPRODUCT(--('Week 3 Schedule'!$G$2:$G$500=$G$28),--('Week 3 Schedule'!$I$2:$I$500=$A32),--('Week 3 Schedule'!$J$2:$J$500&gt;'Week 3 Schedule'!$H$2:$H$500)))+(SUMPRODUCT(--('Week 4 Schedule'!$B$2:$B$500=$A32),--('Week 4 Schedule'!$D$2:$D$500=$G$28),--('Week 4 Schedule'!$C$2:$C$500&gt;'Week 4 Schedule'!$E$2:$E$500))+SUMPRODUCT(--('Week 4 Schedule'!$B$2:$B$500=$G$28),--('Week 4 Schedule'!$D$2:$D$500=$A32),--('Week 4 Schedule'!$E$2:$E$500&gt;'Week 4 Schedule'!$C$2:$C$500)))+(SUMPRODUCT(--('Week 4 Schedule'!$G$2:$G$500=$A32),--('Week 4 Schedule'!$I$2:$I$500=$G$28),--('Week 4 Schedule'!$H$2:$H$500&gt;'Week 4 Schedule'!$J$2:$J$500))+SUMPRODUCT(--('Week 4 Schedule'!$G$2:$G$500=$G$28),--('Week 4 Schedule'!$I$2:$I$500=$A32),--('Week 4 Schedule'!$J$2:$J$500&gt;'Week 4 Schedule'!$H$2:$H$500)))+(SUMPRODUCT(--('Week 5 Schedule'!$B$2:$B$500=$A32),--('Week 5 Schedule'!$D$2:$D$500=$G$28),--('Week 5 Schedule'!$C$2:$C$500&gt;'Week 5 Schedule'!$E$2:$E$500))+SUMPRODUCT(--('Week 5 Schedule'!$B$2:$B$500=$G$28),--('Week 5 Schedule'!$D$2:$D$500=$A32),--('Week 5 Schedule'!$E$2:$E$500&gt;'Week 5 Schedule'!$C$2:$C$500)))+(SUMPRODUCT(--('Week 5 Schedule'!$G$2:$G$500=$A32),--('Week 5 Schedule'!$I$2:$I$500=$G$28),--('Week 5 Schedule'!$H$2:$H$500&gt;'Week 5 Schedule'!$J$2:$J$500))+SUMPRODUCT(--('Week 5 Schedule'!$G$2:$G$500=$G$28),--('Week 5 Schedule'!$I$2:$I$500=$A32),--('Week 5 Schedule'!$J$2:$J$500&gt;'Week 5 Schedule'!$H$2:$H$500)))+(SUMPRODUCT(--('Week 6 Schedule'!$B$2:$B$500=$A32),--('Week 6 Schedule'!$D$2:$D$500=$G$28),--('Week 6 Schedule'!$C$2:$C$500&gt;'Week 6 Schedule'!$E$2:$E$500))+SUMPRODUCT(--('Week 6 Schedule'!$B$2:$B$500=$G$28),--('Week 6 Schedule'!$D$2:$D$500=$A32),--('Week 6 Schedule'!$E$2:$E$500&gt;'Week 6 Schedule'!$C$2:$C$500)))+(SUMPRODUCT(--('Week 6 Schedule'!$G$2:$G$500=$A32),--('Week 6 Schedule'!$I$2:$I$500=$G$28),--('Week 6 Schedule'!$H$2:$H$500&gt;'Week 6 Schedule'!$J$2:$J$500))+SUMPRODUCT(--('Week 6 Schedule'!$G$2:$G$500=$G$28),--('Week 6 Schedule'!$I$2:$I$500=$A32),--('Week 6 Schedule'!$J$2:$J$500&gt;'Week 6 Schedule'!$H$2:$H$500)))</f>
        <v/>
      </c>
      <c r="H32" s="9">
        <f>(SUMPRODUCT(--('Week 1 Schedule'!$B$2:$B$500=$A32),--('Week 1 Schedule'!$D$2:$D$500=$H$28),--('Week 1 Schedule'!$C$2:$C$500&gt;'Week 1 Schedule'!$E$2:$E$500))+SUMPRODUCT(--('Week 1 Schedule'!$B$2:$B$500=$H$28),--('Week 1 Schedule'!$D$2:$D$500=$A32),--('Week 1 Schedule'!$E$2:$E$500&gt;'Week 1 Schedule'!$C$2:$C$500)))+(SUMPRODUCT(--('Week 1 Schedule'!$G$2:$G$500=$A32),--('Week 1 Schedule'!$I$2:$I$500=$H$28),--('Week 1 Schedule'!$H$2:$H$500&gt;'Week 1 Schedule'!$J$2:$J$500))+SUMPRODUCT(--('Week 1 Schedule'!$G$2:$G$500=$H$28),--('Week 1 Schedule'!$I$2:$I$500=$A32),--('Week 1 Schedule'!$J$2:$J$500&gt;'Week 1 Schedule'!$H$2:$H$500)))+(SUMPRODUCT(--('Week 2 Schedule'!$B$2:$B$500=$A32),--('Week 2 Schedule'!$D$2:$D$500=$H$28),--('Week 2 Schedule'!$C$2:$C$500&gt;'Week 2 Schedule'!$E$2:$E$500))+SUMPRODUCT(--('Week 2 Schedule'!$B$2:$B$500=$H$28),--('Week 2 Schedule'!$D$2:$D$500=$A32),--('Week 2 Schedule'!$E$2:$E$500&gt;'Week 2 Schedule'!$C$2:$C$500)))+(SUMPRODUCT(--('Week 2 Schedule'!$G$2:$G$500=$A32),--('Week 2 Schedule'!$I$2:$I$500=$H$28),--('Week 2 Schedule'!$H$2:$H$500&gt;'Week 2 Schedule'!$J$2:$J$500))+SUMPRODUCT(--('Week 2 Schedule'!$G$2:$G$500=$H$28),--('Week 2 Schedule'!$I$2:$I$500=$A32),--('Week 2 Schedule'!$J$2:$J$500&gt;'Week 2 Schedule'!$H$2:$H$500)))+(SUMPRODUCT(--('Week 3 Schedule'!$B$2:$B$500=$A32),--('Week 3 Schedule'!$D$2:$D$500=$H$28),--('Week 3 Schedule'!$C$2:$C$500&gt;'Week 3 Schedule'!$E$2:$E$500))+SUMPRODUCT(--('Week 3 Schedule'!$B$2:$B$500=$H$28),--('Week 3 Schedule'!$D$2:$D$500=$A32),--('Week 3 Schedule'!$E$2:$E$500&gt;'Week 3 Schedule'!$C$2:$C$500)))+(SUMPRODUCT(--('Week 3 Schedule'!$G$2:$G$500=$A32),--('Week 3 Schedule'!$I$2:$I$500=$H$28),--('Week 3 Schedule'!$H$2:$H$500&gt;'Week 3 Schedule'!$J$2:$J$500))+SUMPRODUCT(--('Week 3 Schedule'!$G$2:$G$500=$H$28),--('Week 3 Schedule'!$I$2:$I$500=$A32),--('Week 3 Schedule'!$J$2:$J$500&gt;'Week 3 Schedule'!$H$2:$H$500)))+(SUMPRODUCT(--('Week 4 Schedule'!$B$2:$B$500=$A32),--('Week 4 Schedule'!$D$2:$D$500=$H$28),--('Week 4 Schedule'!$C$2:$C$500&gt;'Week 4 Schedule'!$E$2:$E$500))+SUMPRODUCT(--('Week 4 Schedule'!$B$2:$B$500=$H$28),--('Week 4 Schedule'!$D$2:$D$500=$A32),--('Week 4 Schedule'!$E$2:$E$500&gt;'Week 4 Schedule'!$C$2:$C$500)))+(SUMPRODUCT(--('Week 4 Schedule'!$G$2:$G$500=$A32),--('Week 4 Schedule'!$I$2:$I$500=$H$28),--('Week 4 Schedule'!$H$2:$H$500&gt;'Week 4 Schedule'!$J$2:$J$500))+SUMPRODUCT(--('Week 4 Schedule'!$G$2:$G$500=$H$28),--('Week 4 Schedule'!$I$2:$I$500=$A32),--('Week 4 Schedule'!$J$2:$J$500&gt;'Week 4 Schedule'!$H$2:$H$500)))+(SUMPRODUCT(--('Week 5 Schedule'!$B$2:$B$500=$A32),--('Week 5 Schedule'!$D$2:$D$500=$H$28),--('Week 5 Schedule'!$C$2:$C$500&gt;'Week 5 Schedule'!$E$2:$E$500))+SUMPRODUCT(--('Week 5 Schedule'!$B$2:$B$500=$H$28),--('Week 5 Schedule'!$D$2:$D$500=$A32),--('Week 5 Schedule'!$E$2:$E$500&gt;'Week 5 Schedule'!$C$2:$C$500)))+(SUMPRODUCT(--('Week 5 Schedule'!$G$2:$G$500=$A32),--('Week 5 Schedule'!$I$2:$I$500=$H$28),--('Week 5 Schedule'!$H$2:$H$500&gt;'Week 5 Schedule'!$J$2:$J$500))+SUMPRODUCT(--('Week 5 Schedule'!$G$2:$G$500=$H$28),--('Week 5 Schedule'!$I$2:$I$500=$A32),--('Week 5 Schedule'!$J$2:$J$500&gt;'Week 5 Schedule'!$H$2:$H$500)))+(SUMPRODUCT(--('Week 6 Schedule'!$B$2:$B$500=$A32),--('Week 6 Schedule'!$D$2:$D$500=$H$28),--('Week 6 Schedule'!$C$2:$C$500&gt;'Week 6 Schedule'!$E$2:$E$500))+SUMPRODUCT(--('Week 6 Schedule'!$B$2:$B$500=$H$28),--('Week 6 Schedule'!$D$2:$D$500=$A32),--('Week 6 Schedule'!$E$2:$E$500&gt;'Week 6 Schedule'!$C$2:$C$500)))+(SUMPRODUCT(--('Week 6 Schedule'!$G$2:$G$500=$A32),--('Week 6 Schedule'!$I$2:$I$500=$H$28),--('Week 6 Schedule'!$H$2:$H$500&gt;'Week 6 Schedule'!$J$2:$J$500))+SUMPRODUCT(--('Week 6 Schedule'!$G$2:$G$500=$H$28),--('Week 6 Schedule'!$I$2:$I$500=$A32),--('Week 6 Schedule'!$J$2:$J$500&gt;'Week 6 Schedule'!$H$2:$H$500)))</f>
        <v/>
      </c>
      <c r="I32" s="9">
        <f>(SUMPRODUCT(--('Week 1 Schedule'!$B$2:$B$500=$A32),--('Week 1 Schedule'!$D$2:$D$500=$I$28),--('Week 1 Schedule'!$C$2:$C$500&gt;'Week 1 Schedule'!$E$2:$E$500))+SUMPRODUCT(--('Week 1 Schedule'!$B$2:$B$500=$I$28),--('Week 1 Schedule'!$D$2:$D$500=$A32),--('Week 1 Schedule'!$E$2:$E$500&gt;'Week 1 Schedule'!$C$2:$C$500)))+(SUMPRODUCT(--('Week 1 Schedule'!$G$2:$G$500=$A32),--('Week 1 Schedule'!$I$2:$I$500=$I$28),--('Week 1 Schedule'!$H$2:$H$500&gt;'Week 1 Schedule'!$J$2:$J$500))+SUMPRODUCT(--('Week 1 Schedule'!$G$2:$G$500=$I$28),--('Week 1 Schedule'!$I$2:$I$500=$A32),--('Week 1 Schedule'!$J$2:$J$500&gt;'Week 1 Schedule'!$H$2:$H$500)))+(SUMPRODUCT(--('Week 2 Schedule'!$B$2:$B$500=$A32),--('Week 2 Schedule'!$D$2:$D$500=$I$28),--('Week 2 Schedule'!$C$2:$C$500&gt;'Week 2 Schedule'!$E$2:$E$500))+SUMPRODUCT(--('Week 2 Schedule'!$B$2:$B$500=$I$28),--('Week 2 Schedule'!$D$2:$D$500=$A32),--('Week 2 Schedule'!$E$2:$E$500&gt;'Week 2 Schedule'!$C$2:$C$500)))+(SUMPRODUCT(--('Week 2 Schedule'!$G$2:$G$500=$A32),--('Week 2 Schedule'!$I$2:$I$500=$I$28),--('Week 2 Schedule'!$H$2:$H$500&gt;'Week 2 Schedule'!$J$2:$J$500))+SUMPRODUCT(--('Week 2 Schedule'!$G$2:$G$500=$I$28),--('Week 2 Schedule'!$I$2:$I$500=$A32),--('Week 2 Schedule'!$J$2:$J$500&gt;'Week 2 Schedule'!$H$2:$H$500)))+(SUMPRODUCT(--('Week 3 Schedule'!$B$2:$B$500=$A32),--('Week 3 Schedule'!$D$2:$D$500=$I$28),--('Week 3 Schedule'!$C$2:$C$500&gt;'Week 3 Schedule'!$E$2:$E$500))+SUMPRODUCT(--('Week 3 Schedule'!$B$2:$B$500=$I$28),--('Week 3 Schedule'!$D$2:$D$500=$A32),--('Week 3 Schedule'!$E$2:$E$500&gt;'Week 3 Schedule'!$C$2:$C$500)))+(SUMPRODUCT(--('Week 3 Schedule'!$G$2:$G$500=$A32),--('Week 3 Schedule'!$I$2:$I$500=$I$28),--('Week 3 Schedule'!$H$2:$H$500&gt;'Week 3 Schedule'!$J$2:$J$500))+SUMPRODUCT(--('Week 3 Schedule'!$G$2:$G$500=$I$28),--('Week 3 Schedule'!$I$2:$I$500=$A32),--('Week 3 Schedule'!$J$2:$J$500&gt;'Week 3 Schedule'!$H$2:$H$500)))+(SUMPRODUCT(--('Week 4 Schedule'!$B$2:$B$500=$A32),--('Week 4 Schedule'!$D$2:$D$500=$I$28),--('Week 4 Schedule'!$C$2:$C$500&gt;'Week 4 Schedule'!$E$2:$E$500))+SUMPRODUCT(--('Week 4 Schedule'!$B$2:$B$500=$I$28),--('Week 4 Schedule'!$D$2:$D$500=$A32),--('Week 4 Schedule'!$E$2:$E$500&gt;'Week 4 Schedule'!$C$2:$C$500)))+(SUMPRODUCT(--('Week 4 Schedule'!$G$2:$G$500=$A32),--('Week 4 Schedule'!$I$2:$I$500=$I$28),--('Week 4 Schedule'!$H$2:$H$500&gt;'Week 4 Schedule'!$J$2:$J$500))+SUMPRODUCT(--('Week 4 Schedule'!$G$2:$G$500=$I$28),--('Week 4 Schedule'!$I$2:$I$500=$A32),--('Week 4 Schedule'!$J$2:$J$500&gt;'Week 4 Schedule'!$H$2:$H$500)))+(SUMPRODUCT(--('Week 5 Schedule'!$B$2:$B$500=$A32),--('Week 5 Schedule'!$D$2:$D$500=$I$28),--('Week 5 Schedule'!$C$2:$C$500&gt;'Week 5 Schedule'!$E$2:$E$500))+SUMPRODUCT(--('Week 5 Schedule'!$B$2:$B$500=$I$28),--('Week 5 Schedule'!$D$2:$D$500=$A32),--('Week 5 Schedule'!$E$2:$E$500&gt;'Week 5 Schedule'!$C$2:$C$500)))+(SUMPRODUCT(--('Week 5 Schedule'!$G$2:$G$500=$A32),--('Week 5 Schedule'!$I$2:$I$500=$I$28),--('Week 5 Schedule'!$H$2:$H$500&gt;'Week 5 Schedule'!$J$2:$J$500))+SUMPRODUCT(--('Week 5 Schedule'!$G$2:$G$500=$I$28),--('Week 5 Schedule'!$I$2:$I$500=$A32),--('Week 5 Schedule'!$J$2:$J$500&gt;'Week 5 Schedule'!$H$2:$H$500)))+(SUMPRODUCT(--('Week 6 Schedule'!$B$2:$B$500=$A32),--('Week 6 Schedule'!$D$2:$D$500=$I$28),--('Week 6 Schedule'!$C$2:$C$500&gt;'Week 6 Schedule'!$E$2:$E$500))+SUMPRODUCT(--('Week 6 Schedule'!$B$2:$B$500=$I$28),--('Week 6 Schedule'!$D$2:$D$500=$A32),--('Week 6 Schedule'!$E$2:$E$500&gt;'Week 6 Schedule'!$C$2:$C$500)))+(SUMPRODUCT(--('Week 6 Schedule'!$G$2:$G$500=$A32),--('Week 6 Schedule'!$I$2:$I$500=$I$28),--('Week 6 Schedule'!$H$2:$H$500&gt;'Week 6 Schedule'!$J$2:$J$500))+SUMPRODUCT(--('Week 6 Schedule'!$G$2:$G$500=$I$28),--('Week 6 Schedule'!$I$2:$I$500=$A32),--('Week 6 Schedule'!$J$2:$J$500&gt;'Week 6 Schedule'!$H$2:$H$500)))</f>
        <v/>
      </c>
      <c r="J32" s="9" t="n"/>
      <c r="K32" s="9" t="n"/>
      <c r="L32" s="9" t="n"/>
      <c r="M32" s="9" t="n"/>
    </row>
    <row r="33">
      <c r="A33" s="9" t="inlineStr">
        <is>
          <t>Team 5</t>
        </is>
      </c>
      <c r="B33" s="9">
        <f>(SUMPRODUCT(--('Week 1 Schedule'!$B$2:$B$500=$A33),--('Week 1 Schedule'!$D$2:$D$500=$B$28),--('Week 1 Schedule'!$C$2:$C$500&gt;'Week 1 Schedule'!$E$2:$E$500))+SUMPRODUCT(--('Week 1 Schedule'!$B$2:$B$500=$B$28),--('Week 1 Schedule'!$D$2:$D$500=$A33),--('Week 1 Schedule'!$E$2:$E$500&gt;'Week 1 Schedule'!$C$2:$C$500)))+(SUMPRODUCT(--('Week 1 Schedule'!$G$2:$G$500=$A33),--('Week 1 Schedule'!$I$2:$I$500=$B$28),--('Week 1 Schedule'!$H$2:$H$500&gt;'Week 1 Schedule'!$J$2:$J$500))+SUMPRODUCT(--('Week 1 Schedule'!$G$2:$G$500=$B$28),--('Week 1 Schedule'!$I$2:$I$500=$A33),--('Week 1 Schedule'!$J$2:$J$500&gt;'Week 1 Schedule'!$H$2:$H$500)))+(SUMPRODUCT(--('Week 2 Schedule'!$B$2:$B$500=$A33),--('Week 2 Schedule'!$D$2:$D$500=$B$28),--('Week 2 Schedule'!$C$2:$C$500&gt;'Week 2 Schedule'!$E$2:$E$500))+SUMPRODUCT(--('Week 2 Schedule'!$B$2:$B$500=$B$28),--('Week 2 Schedule'!$D$2:$D$500=$A33),--('Week 2 Schedule'!$E$2:$E$500&gt;'Week 2 Schedule'!$C$2:$C$500)))+(SUMPRODUCT(--('Week 2 Schedule'!$G$2:$G$500=$A33),--('Week 2 Schedule'!$I$2:$I$500=$B$28),--('Week 2 Schedule'!$H$2:$H$500&gt;'Week 2 Schedule'!$J$2:$J$500))+SUMPRODUCT(--('Week 2 Schedule'!$G$2:$G$500=$B$28),--('Week 2 Schedule'!$I$2:$I$500=$A33),--('Week 2 Schedule'!$J$2:$J$500&gt;'Week 2 Schedule'!$H$2:$H$500)))+(SUMPRODUCT(--('Week 3 Schedule'!$B$2:$B$500=$A33),--('Week 3 Schedule'!$D$2:$D$500=$B$28),--('Week 3 Schedule'!$C$2:$C$500&gt;'Week 3 Schedule'!$E$2:$E$500))+SUMPRODUCT(--('Week 3 Schedule'!$B$2:$B$500=$B$28),--('Week 3 Schedule'!$D$2:$D$500=$A33),--('Week 3 Schedule'!$E$2:$E$500&gt;'Week 3 Schedule'!$C$2:$C$500)))+(SUMPRODUCT(--('Week 3 Schedule'!$G$2:$G$500=$A33),--('Week 3 Schedule'!$I$2:$I$500=$B$28),--('Week 3 Schedule'!$H$2:$H$500&gt;'Week 3 Schedule'!$J$2:$J$500))+SUMPRODUCT(--('Week 3 Schedule'!$G$2:$G$500=$B$28),--('Week 3 Schedule'!$I$2:$I$500=$A33),--('Week 3 Schedule'!$J$2:$J$500&gt;'Week 3 Schedule'!$H$2:$H$500)))+(SUMPRODUCT(--('Week 4 Schedule'!$B$2:$B$500=$A33),--('Week 4 Schedule'!$D$2:$D$500=$B$28),--('Week 4 Schedule'!$C$2:$C$500&gt;'Week 4 Schedule'!$E$2:$E$500))+SUMPRODUCT(--('Week 4 Schedule'!$B$2:$B$500=$B$28),--('Week 4 Schedule'!$D$2:$D$500=$A33),--('Week 4 Schedule'!$E$2:$E$500&gt;'Week 4 Schedule'!$C$2:$C$500)))+(SUMPRODUCT(--('Week 4 Schedule'!$G$2:$G$500=$A33),--('Week 4 Schedule'!$I$2:$I$500=$B$28),--('Week 4 Schedule'!$H$2:$H$500&gt;'Week 4 Schedule'!$J$2:$J$500))+SUMPRODUCT(--('Week 4 Schedule'!$G$2:$G$500=$B$28),--('Week 4 Schedule'!$I$2:$I$500=$A33),--('Week 4 Schedule'!$J$2:$J$500&gt;'Week 4 Schedule'!$H$2:$H$500)))+(SUMPRODUCT(--('Week 5 Schedule'!$B$2:$B$500=$A33),--('Week 5 Schedule'!$D$2:$D$500=$B$28),--('Week 5 Schedule'!$C$2:$C$500&gt;'Week 5 Schedule'!$E$2:$E$500))+SUMPRODUCT(--('Week 5 Schedule'!$B$2:$B$500=$B$28),--('Week 5 Schedule'!$D$2:$D$500=$A33),--('Week 5 Schedule'!$E$2:$E$500&gt;'Week 5 Schedule'!$C$2:$C$500)))+(SUMPRODUCT(--('Week 5 Schedule'!$G$2:$G$500=$A33),--('Week 5 Schedule'!$I$2:$I$500=$B$28),--('Week 5 Schedule'!$H$2:$H$500&gt;'Week 5 Schedule'!$J$2:$J$500))+SUMPRODUCT(--('Week 5 Schedule'!$G$2:$G$500=$B$28),--('Week 5 Schedule'!$I$2:$I$500=$A33),--('Week 5 Schedule'!$J$2:$J$500&gt;'Week 5 Schedule'!$H$2:$H$500)))+(SUMPRODUCT(--('Week 6 Schedule'!$B$2:$B$500=$A33),--('Week 6 Schedule'!$D$2:$D$500=$B$28),--('Week 6 Schedule'!$C$2:$C$500&gt;'Week 6 Schedule'!$E$2:$E$500))+SUMPRODUCT(--('Week 6 Schedule'!$B$2:$B$500=$B$28),--('Week 6 Schedule'!$D$2:$D$500=$A33),--('Week 6 Schedule'!$E$2:$E$500&gt;'Week 6 Schedule'!$C$2:$C$500)))+(SUMPRODUCT(--('Week 6 Schedule'!$G$2:$G$500=$A33),--('Week 6 Schedule'!$I$2:$I$500=$B$28),--('Week 6 Schedule'!$H$2:$H$500&gt;'Week 6 Schedule'!$J$2:$J$500))+SUMPRODUCT(--('Week 6 Schedule'!$G$2:$G$500=$B$28),--('Week 6 Schedule'!$I$2:$I$500=$A33),--('Week 6 Schedule'!$J$2:$J$500&gt;'Week 6 Schedule'!$H$2:$H$500)))</f>
        <v/>
      </c>
      <c r="C33" s="9">
        <f>(SUMPRODUCT(--('Week 1 Schedule'!$B$2:$B$500=$A33),--('Week 1 Schedule'!$D$2:$D$500=$C$28),--('Week 1 Schedule'!$C$2:$C$500&gt;'Week 1 Schedule'!$E$2:$E$500))+SUMPRODUCT(--('Week 1 Schedule'!$B$2:$B$500=$C$28),--('Week 1 Schedule'!$D$2:$D$500=$A33),--('Week 1 Schedule'!$E$2:$E$500&gt;'Week 1 Schedule'!$C$2:$C$500)))+(SUMPRODUCT(--('Week 1 Schedule'!$G$2:$G$500=$A33),--('Week 1 Schedule'!$I$2:$I$500=$C$28),--('Week 1 Schedule'!$H$2:$H$500&gt;'Week 1 Schedule'!$J$2:$J$500))+SUMPRODUCT(--('Week 1 Schedule'!$G$2:$G$500=$C$28),--('Week 1 Schedule'!$I$2:$I$500=$A33),--('Week 1 Schedule'!$J$2:$J$500&gt;'Week 1 Schedule'!$H$2:$H$500)))+(SUMPRODUCT(--('Week 2 Schedule'!$B$2:$B$500=$A33),--('Week 2 Schedule'!$D$2:$D$500=$C$28),--('Week 2 Schedule'!$C$2:$C$500&gt;'Week 2 Schedule'!$E$2:$E$500))+SUMPRODUCT(--('Week 2 Schedule'!$B$2:$B$500=$C$28),--('Week 2 Schedule'!$D$2:$D$500=$A33),--('Week 2 Schedule'!$E$2:$E$500&gt;'Week 2 Schedule'!$C$2:$C$500)))+(SUMPRODUCT(--('Week 2 Schedule'!$G$2:$G$500=$A33),--('Week 2 Schedule'!$I$2:$I$500=$C$28),--('Week 2 Schedule'!$H$2:$H$500&gt;'Week 2 Schedule'!$J$2:$J$500))+SUMPRODUCT(--('Week 2 Schedule'!$G$2:$G$500=$C$28),--('Week 2 Schedule'!$I$2:$I$500=$A33),--('Week 2 Schedule'!$J$2:$J$500&gt;'Week 2 Schedule'!$H$2:$H$500)))+(SUMPRODUCT(--('Week 3 Schedule'!$B$2:$B$500=$A33),--('Week 3 Schedule'!$D$2:$D$500=$C$28),--('Week 3 Schedule'!$C$2:$C$500&gt;'Week 3 Schedule'!$E$2:$E$500))+SUMPRODUCT(--('Week 3 Schedule'!$B$2:$B$500=$C$28),--('Week 3 Schedule'!$D$2:$D$500=$A33),--('Week 3 Schedule'!$E$2:$E$500&gt;'Week 3 Schedule'!$C$2:$C$500)))+(SUMPRODUCT(--('Week 3 Schedule'!$G$2:$G$500=$A33),--('Week 3 Schedule'!$I$2:$I$500=$C$28),--('Week 3 Schedule'!$H$2:$H$500&gt;'Week 3 Schedule'!$J$2:$J$500))+SUMPRODUCT(--('Week 3 Schedule'!$G$2:$G$500=$C$28),--('Week 3 Schedule'!$I$2:$I$500=$A33),--('Week 3 Schedule'!$J$2:$J$500&gt;'Week 3 Schedule'!$H$2:$H$500)))+(SUMPRODUCT(--('Week 4 Schedule'!$B$2:$B$500=$A33),--('Week 4 Schedule'!$D$2:$D$500=$C$28),--('Week 4 Schedule'!$C$2:$C$500&gt;'Week 4 Schedule'!$E$2:$E$500))+SUMPRODUCT(--('Week 4 Schedule'!$B$2:$B$500=$C$28),--('Week 4 Schedule'!$D$2:$D$500=$A33),--('Week 4 Schedule'!$E$2:$E$500&gt;'Week 4 Schedule'!$C$2:$C$500)))+(SUMPRODUCT(--('Week 4 Schedule'!$G$2:$G$500=$A33),--('Week 4 Schedule'!$I$2:$I$500=$C$28),--('Week 4 Schedule'!$H$2:$H$500&gt;'Week 4 Schedule'!$J$2:$J$500))+SUMPRODUCT(--('Week 4 Schedule'!$G$2:$G$500=$C$28),--('Week 4 Schedule'!$I$2:$I$500=$A33),--('Week 4 Schedule'!$J$2:$J$500&gt;'Week 4 Schedule'!$H$2:$H$500)))+(SUMPRODUCT(--('Week 5 Schedule'!$B$2:$B$500=$A33),--('Week 5 Schedule'!$D$2:$D$500=$C$28),--('Week 5 Schedule'!$C$2:$C$500&gt;'Week 5 Schedule'!$E$2:$E$500))+SUMPRODUCT(--('Week 5 Schedule'!$B$2:$B$500=$C$28),--('Week 5 Schedule'!$D$2:$D$500=$A33),--('Week 5 Schedule'!$E$2:$E$500&gt;'Week 5 Schedule'!$C$2:$C$500)))+(SUMPRODUCT(--('Week 5 Schedule'!$G$2:$G$500=$A33),--('Week 5 Schedule'!$I$2:$I$500=$C$28),--('Week 5 Schedule'!$H$2:$H$500&gt;'Week 5 Schedule'!$J$2:$J$500))+SUMPRODUCT(--('Week 5 Schedule'!$G$2:$G$500=$C$28),--('Week 5 Schedule'!$I$2:$I$500=$A33),--('Week 5 Schedule'!$J$2:$J$500&gt;'Week 5 Schedule'!$H$2:$H$500)))+(SUMPRODUCT(--('Week 6 Schedule'!$B$2:$B$500=$A33),--('Week 6 Schedule'!$D$2:$D$500=$C$28),--('Week 6 Schedule'!$C$2:$C$500&gt;'Week 6 Schedule'!$E$2:$E$500))+SUMPRODUCT(--('Week 6 Schedule'!$B$2:$B$500=$C$28),--('Week 6 Schedule'!$D$2:$D$500=$A33),--('Week 6 Schedule'!$E$2:$E$500&gt;'Week 6 Schedule'!$C$2:$C$500)))+(SUMPRODUCT(--('Week 6 Schedule'!$G$2:$G$500=$A33),--('Week 6 Schedule'!$I$2:$I$500=$C$28),--('Week 6 Schedule'!$H$2:$H$500&gt;'Week 6 Schedule'!$J$2:$J$500))+SUMPRODUCT(--('Week 6 Schedule'!$G$2:$G$500=$C$28),--('Week 6 Schedule'!$I$2:$I$500=$A33),--('Week 6 Schedule'!$J$2:$J$500&gt;'Week 6 Schedule'!$H$2:$H$500)))</f>
        <v/>
      </c>
      <c r="D33" s="9">
        <f>(SUMPRODUCT(--('Week 1 Schedule'!$B$2:$B$500=$A33),--('Week 1 Schedule'!$D$2:$D$500=$D$28),--('Week 1 Schedule'!$C$2:$C$500&gt;'Week 1 Schedule'!$E$2:$E$500))+SUMPRODUCT(--('Week 1 Schedule'!$B$2:$B$500=$D$28),--('Week 1 Schedule'!$D$2:$D$500=$A33),--('Week 1 Schedule'!$E$2:$E$500&gt;'Week 1 Schedule'!$C$2:$C$500)))+(SUMPRODUCT(--('Week 1 Schedule'!$G$2:$G$500=$A33),--('Week 1 Schedule'!$I$2:$I$500=$D$28),--('Week 1 Schedule'!$H$2:$H$500&gt;'Week 1 Schedule'!$J$2:$J$500))+SUMPRODUCT(--('Week 1 Schedule'!$G$2:$G$500=$D$28),--('Week 1 Schedule'!$I$2:$I$500=$A33),--('Week 1 Schedule'!$J$2:$J$500&gt;'Week 1 Schedule'!$H$2:$H$500)))+(SUMPRODUCT(--('Week 2 Schedule'!$B$2:$B$500=$A33),--('Week 2 Schedule'!$D$2:$D$500=$D$28),--('Week 2 Schedule'!$C$2:$C$500&gt;'Week 2 Schedule'!$E$2:$E$500))+SUMPRODUCT(--('Week 2 Schedule'!$B$2:$B$500=$D$28),--('Week 2 Schedule'!$D$2:$D$500=$A33),--('Week 2 Schedule'!$E$2:$E$500&gt;'Week 2 Schedule'!$C$2:$C$500)))+(SUMPRODUCT(--('Week 2 Schedule'!$G$2:$G$500=$A33),--('Week 2 Schedule'!$I$2:$I$500=$D$28),--('Week 2 Schedule'!$H$2:$H$500&gt;'Week 2 Schedule'!$J$2:$J$500))+SUMPRODUCT(--('Week 2 Schedule'!$G$2:$G$500=$D$28),--('Week 2 Schedule'!$I$2:$I$500=$A33),--('Week 2 Schedule'!$J$2:$J$500&gt;'Week 2 Schedule'!$H$2:$H$500)))+(SUMPRODUCT(--('Week 3 Schedule'!$B$2:$B$500=$A33),--('Week 3 Schedule'!$D$2:$D$500=$D$28),--('Week 3 Schedule'!$C$2:$C$500&gt;'Week 3 Schedule'!$E$2:$E$500))+SUMPRODUCT(--('Week 3 Schedule'!$B$2:$B$500=$D$28),--('Week 3 Schedule'!$D$2:$D$500=$A33),--('Week 3 Schedule'!$E$2:$E$500&gt;'Week 3 Schedule'!$C$2:$C$500)))+(SUMPRODUCT(--('Week 3 Schedule'!$G$2:$G$500=$A33),--('Week 3 Schedule'!$I$2:$I$500=$D$28),--('Week 3 Schedule'!$H$2:$H$500&gt;'Week 3 Schedule'!$J$2:$J$500))+SUMPRODUCT(--('Week 3 Schedule'!$G$2:$G$500=$D$28),--('Week 3 Schedule'!$I$2:$I$500=$A33),--('Week 3 Schedule'!$J$2:$J$500&gt;'Week 3 Schedule'!$H$2:$H$500)))+(SUMPRODUCT(--('Week 4 Schedule'!$B$2:$B$500=$A33),--('Week 4 Schedule'!$D$2:$D$500=$D$28),--('Week 4 Schedule'!$C$2:$C$500&gt;'Week 4 Schedule'!$E$2:$E$500))+SUMPRODUCT(--('Week 4 Schedule'!$B$2:$B$500=$D$28),--('Week 4 Schedule'!$D$2:$D$500=$A33),--('Week 4 Schedule'!$E$2:$E$500&gt;'Week 4 Schedule'!$C$2:$C$500)))+(SUMPRODUCT(--('Week 4 Schedule'!$G$2:$G$500=$A33),--('Week 4 Schedule'!$I$2:$I$500=$D$28),--('Week 4 Schedule'!$H$2:$H$500&gt;'Week 4 Schedule'!$J$2:$J$500))+SUMPRODUCT(--('Week 4 Schedule'!$G$2:$G$500=$D$28),--('Week 4 Schedule'!$I$2:$I$500=$A33),--('Week 4 Schedule'!$J$2:$J$500&gt;'Week 4 Schedule'!$H$2:$H$500)))+(SUMPRODUCT(--('Week 5 Schedule'!$B$2:$B$500=$A33),--('Week 5 Schedule'!$D$2:$D$500=$D$28),--('Week 5 Schedule'!$C$2:$C$500&gt;'Week 5 Schedule'!$E$2:$E$500))+SUMPRODUCT(--('Week 5 Schedule'!$B$2:$B$500=$D$28),--('Week 5 Schedule'!$D$2:$D$500=$A33),--('Week 5 Schedule'!$E$2:$E$500&gt;'Week 5 Schedule'!$C$2:$C$500)))+(SUMPRODUCT(--('Week 5 Schedule'!$G$2:$G$500=$A33),--('Week 5 Schedule'!$I$2:$I$500=$D$28),--('Week 5 Schedule'!$H$2:$H$500&gt;'Week 5 Schedule'!$J$2:$J$500))+SUMPRODUCT(--('Week 5 Schedule'!$G$2:$G$500=$D$28),--('Week 5 Schedule'!$I$2:$I$500=$A33),--('Week 5 Schedule'!$J$2:$J$500&gt;'Week 5 Schedule'!$H$2:$H$500)))+(SUMPRODUCT(--('Week 6 Schedule'!$B$2:$B$500=$A33),--('Week 6 Schedule'!$D$2:$D$500=$D$28),--('Week 6 Schedule'!$C$2:$C$500&gt;'Week 6 Schedule'!$E$2:$E$500))+SUMPRODUCT(--('Week 6 Schedule'!$B$2:$B$500=$D$28),--('Week 6 Schedule'!$D$2:$D$500=$A33),--('Week 6 Schedule'!$E$2:$E$500&gt;'Week 6 Schedule'!$C$2:$C$500)))+(SUMPRODUCT(--('Week 6 Schedule'!$G$2:$G$500=$A33),--('Week 6 Schedule'!$I$2:$I$500=$D$28),--('Week 6 Schedule'!$H$2:$H$500&gt;'Week 6 Schedule'!$J$2:$J$500))+SUMPRODUCT(--('Week 6 Schedule'!$G$2:$G$500=$D$28),--('Week 6 Schedule'!$I$2:$I$500=$A33),--('Week 6 Schedule'!$J$2:$J$500&gt;'Week 6 Schedule'!$H$2:$H$500)))</f>
        <v/>
      </c>
      <c r="E33" s="9">
        <f>(SUMPRODUCT(--('Week 1 Schedule'!$B$2:$B$500=$A33),--('Week 1 Schedule'!$D$2:$D$500=$E$28),--('Week 1 Schedule'!$C$2:$C$500&gt;'Week 1 Schedule'!$E$2:$E$500))+SUMPRODUCT(--('Week 1 Schedule'!$B$2:$B$500=$E$28),--('Week 1 Schedule'!$D$2:$D$500=$A33),--('Week 1 Schedule'!$E$2:$E$500&gt;'Week 1 Schedule'!$C$2:$C$500)))+(SUMPRODUCT(--('Week 1 Schedule'!$G$2:$G$500=$A33),--('Week 1 Schedule'!$I$2:$I$500=$E$28),--('Week 1 Schedule'!$H$2:$H$500&gt;'Week 1 Schedule'!$J$2:$J$500))+SUMPRODUCT(--('Week 1 Schedule'!$G$2:$G$500=$E$28),--('Week 1 Schedule'!$I$2:$I$500=$A33),--('Week 1 Schedule'!$J$2:$J$500&gt;'Week 1 Schedule'!$H$2:$H$500)))+(SUMPRODUCT(--('Week 2 Schedule'!$B$2:$B$500=$A33),--('Week 2 Schedule'!$D$2:$D$500=$E$28),--('Week 2 Schedule'!$C$2:$C$500&gt;'Week 2 Schedule'!$E$2:$E$500))+SUMPRODUCT(--('Week 2 Schedule'!$B$2:$B$500=$E$28),--('Week 2 Schedule'!$D$2:$D$500=$A33),--('Week 2 Schedule'!$E$2:$E$500&gt;'Week 2 Schedule'!$C$2:$C$500)))+(SUMPRODUCT(--('Week 2 Schedule'!$G$2:$G$500=$A33),--('Week 2 Schedule'!$I$2:$I$500=$E$28),--('Week 2 Schedule'!$H$2:$H$500&gt;'Week 2 Schedule'!$J$2:$J$500))+SUMPRODUCT(--('Week 2 Schedule'!$G$2:$G$500=$E$28),--('Week 2 Schedule'!$I$2:$I$500=$A33),--('Week 2 Schedule'!$J$2:$J$500&gt;'Week 2 Schedule'!$H$2:$H$500)))+(SUMPRODUCT(--('Week 3 Schedule'!$B$2:$B$500=$A33),--('Week 3 Schedule'!$D$2:$D$500=$E$28),--('Week 3 Schedule'!$C$2:$C$500&gt;'Week 3 Schedule'!$E$2:$E$500))+SUMPRODUCT(--('Week 3 Schedule'!$B$2:$B$500=$E$28),--('Week 3 Schedule'!$D$2:$D$500=$A33),--('Week 3 Schedule'!$E$2:$E$500&gt;'Week 3 Schedule'!$C$2:$C$500)))+(SUMPRODUCT(--('Week 3 Schedule'!$G$2:$G$500=$A33),--('Week 3 Schedule'!$I$2:$I$500=$E$28),--('Week 3 Schedule'!$H$2:$H$500&gt;'Week 3 Schedule'!$J$2:$J$500))+SUMPRODUCT(--('Week 3 Schedule'!$G$2:$G$500=$E$28),--('Week 3 Schedule'!$I$2:$I$500=$A33),--('Week 3 Schedule'!$J$2:$J$500&gt;'Week 3 Schedule'!$H$2:$H$500)))+(SUMPRODUCT(--('Week 4 Schedule'!$B$2:$B$500=$A33),--('Week 4 Schedule'!$D$2:$D$500=$E$28),--('Week 4 Schedule'!$C$2:$C$500&gt;'Week 4 Schedule'!$E$2:$E$500))+SUMPRODUCT(--('Week 4 Schedule'!$B$2:$B$500=$E$28),--('Week 4 Schedule'!$D$2:$D$500=$A33),--('Week 4 Schedule'!$E$2:$E$500&gt;'Week 4 Schedule'!$C$2:$C$500)))+(SUMPRODUCT(--('Week 4 Schedule'!$G$2:$G$500=$A33),--('Week 4 Schedule'!$I$2:$I$500=$E$28),--('Week 4 Schedule'!$H$2:$H$500&gt;'Week 4 Schedule'!$J$2:$J$500))+SUMPRODUCT(--('Week 4 Schedule'!$G$2:$G$500=$E$28),--('Week 4 Schedule'!$I$2:$I$500=$A33),--('Week 4 Schedule'!$J$2:$J$500&gt;'Week 4 Schedule'!$H$2:$H$500)))+(SUMPRODUCT(--('Week 5 Schedule'!$B$2:$B$500=$A33),--('Week 5 Schedule'!$D$2:$D$500=$E$28),--('Week 5 Schedule'!$C$2:$C$500&gt;'Week 5 Schedule'!$E$2:$E$500))+SUMPRODUCT(--('Week 5 Schedule'!$B$2:$B$500=$E$28),--('Week 5 Schedule'!$D$2:$D$500=$A33),--('Week 5 Schedule'!$E$2:$E$500&gt;'Week 5 Schedule'!$C$2:$C$500)))+(SUMPRODUCT(--('Week 5 Schedule'!$G$2:$G$500=$A33),--('Week 5 Schedule'!$I$2:$I$500=$E$28),--('Week 5 Schedule'!$H$2:$H$500&gt;'Week 5 Schedule'!$J$2:$J$500))+SUMPRODUCT(--('Week 5 Schedule'!$G$2:$G$500=$E$28),--('Week 5 Schedule'!$I$2:$I$500=$A33),--('Week 5 Schedule'!$J$2:$J$500&gt;'Week 5 Schedule'!$H$2:$H$500)))+(SUMPRODUCT(--('Week 6 Schedule'!$B$2:$B$500=$A33),--('Week 6 Schedule'!$D$2:$D$500=$E$28),--('Week 6 Schedule'!$C$2:$C$500&gt;'Week 6 Schedule'!$E$2:$E$500))+SUMPRODUCT(--('Week 6 Schedule'!$B$2:$B$500=$E$28),--('Week 6 Schedule'!$D$2:$D$500=$A33),--('Week 6 Schedule'!$E$2:$E$500&gt;'Week 6 Schedule'!$C$2:$C$500)))+(SUMPRODUCT(--('Week 6 Schedule'!$G$2:$G$500=$A33),--('Week 6 Schedule'!$I$2:$I$500=$E$28),--('Week 6 Schedule'!$H$2:$H$500&gt;'Week 6 Schedule'!$J$2:$J$500))+SUMPRODUCT(--('Week 6 Schedule'!$G$2:$G$500=$E$28),--('Week 6 Schedule'!$I$2:$I$500=$A33),--('Week 6 Schedule'!$J$2:$J$500&gt;'Week 6 Schedule'!$H$2:$H$500)))</f>
        <v/>
      </c>
      <c r="F33" s="9" t="inlineStr">
        <is>
          <t>—</t>
        </is>
      </c>
      <c r="G33" s="9">
        <f>(SUMPRODUCT(--('Week 1 Schedule'!$B$2:$B$500=$A33),--('Week 1 Schedule'!$D$2:$D$500=$G$28),--('Week 1 Schedule'!$C$2:$C$500&gt;'Week 1 Schedule'!$E$2:$E$500))+SUMPRODUCT(--('Week 1 Schedule'!$B$2:$B$500=$G$28),--('Week 1 Schedule'!$D$2:$D$500=$A33),--('Week 1 Schedule'!$E$2:$E$500&gt;'Week 1 Schedule'!$C$2:$C$500)))+(SUMPRODUCT(--('Week 1 Schedule'!$G$2:$G$500=$A33),--('Week 1 Schedule'!$I$2:$I$500=$G$28),--('Week 1 Schedule'!$H$2:$H$500&gt;'Week 1 Schedule'!$J$2:$J$500))+SUMPRODUCT(--('Week 1 Schedule'!$G$2:$G$500=$G$28),--('Week 1 Schedule'!$I$2:$I$500=$A33),--('Week 1 Schedule'!$J$2:$J$500&gt;'Week 1 Schedule'!$H$2:$H$500)))+(SUMPRODUCT(--('Week 2 Schedule'!$B$2:$B$500=$A33),--('Week 2 Schedule'!$D$2:$D$500=$G$28),--('Week 2 Schedule'!$C$2:$C$500&gt;'Week 2 Schedule'!$E$2:$E$500))+SUMPRODUCT(--('Week 2 Schedule'!$B$2:$B$500=$G$28),--('Week 2 Schedule'!$D$2:$D$500=$A33),--('Week 2 Schedule'!$E$2:$E$500&gt;'Week 2 Schedule'!$C$2:$C$500)))+(SUMPRODUCT(--('Week 2 Schedule'!$G$2:$G$500=$A33),--('Week 2 Schedule'!$I$2:$I$500=$G$28),--('Week 2 Schedule'!$H$2:$H$500&gt;'Week 2 Schedule'!$J$2:$J$500))+SUMPRODUCT(--('Week 2 Schedule'!$G$2:$G$500=$G$28),--('Week 2 Schedule'!$I$2:$I$500=$A33),--('Week 2 Schedule'!$J$2:$J$500&gt;'Week 2 Schedule'!$H$2:$H$500)))+(SUMPRODUCT(--('Week 3 Schedule'!$B$2:$B$500=$A33),--('Week 3 Schedule'!$D$2:$D$500=$G$28),--('Week 3 Schedule'!$C$2:$C$500&gt;'Week 3 Schedule'!$E$2:$E$500))+SUMPRODUCT(--('Week 3 Schedule'!$B$2:$B$500=$G$28),--('Week 3 Schedule'!$D$2:$D$500=$A33),--('Week 3 Schedule'!$E$2:$E$500&gt;'Week 3 Schedule'!$C$2:$C$500)))+(SUMPRODUCT(--('Week 3 Schedule'!$G$2:$G$500=$A33),--('Week 3 Schedule'!$I$2:$I$500=$G$28),--('Week 3 Schedule'!$H$2:$H$500&gt;'Week 3 Schedule'!$J$2:$J$500))+SUMPRODUCT(--('Week 3 Schedule'!$G$2:$G$500=$G$28),--('Week 3 Schedule'!$I$2:$I$500=$A33),--('Week 3 Schedule'!$J$2:$J$500&gt;'Week 3 Schedule'!$H$2:$H$500)))+(SUMPRODUCT(--('Week 4 Schedule'!$B$2:$B$500=$A33),--('Week 4 Schedule'!$D$2:$D$500=$G$28),--('Week 4 Schedule'!$C$2:$C$500&gt;'Week 4 Schedule'!$E$2:$E$500))+SUMPRODUCT(--('Week 4 Schedule'!$B$2:$B$500=$G$28),--('Week 4 Schedule'!$D$2:$D$500=$A33),--('Week 4 Schedule'!$E$2:$E$500&gt;'Week 4 Schedule'!$C$2:$C$500)))+(SUMPRODUCT(--('Week 4 Schedule'!$G$2:$G$500=$A33),--('Week 4 Schedule'!$I$2:$I$500=$G$28),--('Week 4 Schedule'!$H$2:$H$500&gt;'Week 4 Schedule'!$J$2:$J$500))+SUMPRODUCT(--('Week 4 Schedule'!$G$2:$G$500=$G$28),--('Week 4 Schedule'!$I$2:$I$500=$A33),--('Week 4 Schedule'!$J$2:$J$500&gt;'Week 4 Schedule'!$H$2:$H$500)))+(SUMPRODUCT(--('Week 5 Schedule'!$B$2:$B$500=$A33),--('Week 5 Schedule'!$D$2:$D$500=$G$28),--('Week 5 Schedule'!$C$2:$C$500&gt;'Week 5 Schedule'!$E$2:$E$500))+SUMPRODUCT(--('Week 5 Schedule'!$B$2:$B$500=$G$28),--('Week 5 Schedule'!$D$2:$D$500=$A33),--('Week 5 Schedule'!$E$2:$E$500&gt;'Week 5 Schedule'!$C$2:$C$500)))+(SUMPRODUCT(--('Week 5 Schedule'!$G$2:$G$500=$A33),--('Week 5 Schedule'!$I$2:$I$500=$G$28),--('Week 5 Schedule'!$H$2:$H$500&gt;'Week 5 Schedule'!$J$2:$J$500))+SUMPRODUCT(--('Week 5 Schedule'!$G$2:$G$500=$G$28),--('Week 5 Schedule'!$I$2:$I$500=$A33),--('Week 5 Schedule'!$J$2:$J$500&gt;'Week 5 Schedule'!$H$2:$H$500)))+(SUMPRODUCT(--('Week 6 Schedule'!$B$2:$B$500=$A33),--('Week 6 Schedule'!$D$2:$D$500=$G$28),--('Week 6 Schedule'!$C$2:$C$500&gt;'Week 6 Schedule'!$E$2:$E$500))+SUMPRODUCT(--('Week 6 Schedule'!$B$2:$B$500=$G$28),--('Week 6 Schedule'!$D$2:$D$500=$A33),--('Week 6 Schedule'!$E$2:$E$500&gt;'Week 6 Schedule'!$C$2:$C$500)))+(SUMPRODUCT(--('Week 6 Schedule'!$G$2:$G$500=$A33),--('Week 6 Schedule'!$I$2:$I$500=$G$28),--('Week 6 Schedule'!$H$2:$H$500&gt;'Week 6 Schedule'!$J$2:$J$500))+SUMPRODUCT(--('Week 6 Schedule'!$G$2:$G$500=$G$28),--('Week 6 Schedule'!$I$2:$I$500=$A33),--('Week 6 Schedule'!$J$2:$J$500&gt;'Week 6 Schedule'!$H$2:$H$500)))</f>
        <v/>
      </c>
      <c r="H33" s="9">
        <f>(SUMPRODUCT(--('Week 1 Schedule'!$B$2:$B$500=$A33),--('Week 1 Schedule'!$D$2:$D$500=$H$28),--('Week 1 Schedule'!$C$2:$C$500&gt;'Week 1 Schedule'!$E$2:$E$500))+SUMPRODUCT(--('Week 1 Schedule'!$B$2:$B$500=$H$28),--('Week 1 Schedule'!$D$2:$D$500=$A33),--('Week 1 Schedule'!$E$2:$E$500&gt;'Week 1 Schedule'!$C$2:$C$500)))+(SUMPRODUCT(--('Week 1 Schedule'!$G$2:$G$500=$A33),--('Week 1 Schedule'!$I$2:$I$500=$H$28),--('Week 1 Schedule'!$H$2:$H$500&gt;'Week 1 Schedule'!$J$2:$J$500))+SUMPRODUCT(--('Week 1 Schedule'!$G$2:$G$500=$H$28),--('Week 1 Schedule'!$I$2:$I$500=$A33),--('Week 1 Schedule'!$J$2:$J$500&gt;'Week 1 Schedule'!$H$2:$H$500)))+(SUMPRODUCT(--('Week 2 Schedule'!$B$2:$B$500=$A33),--('Week 2 Schedule'!$D$2:$D$500=$H$28),--('Week 2 Schedule'!$C$2:$C$500&gt;'Week 2 Schedule'!$E$2:$E$500))+SUMPRODUCT(--('Week 2 Schedule'!$B$2:$B$500=$H$28),--('Week 2 Schedule'!$D$2:$D$500=$A33),--('Week 2 Schedule'!$E$2:$E$500&gt;'Week 2 Schedule'!$C$2:$C$500)))+(SUMPRODUCT(--('Week 2 Schedule'!$G$2:$G$500=$A33),--('Week 2 Schedule'!$I$2:$I$500=$H$28),--('Week 2 Schedule'!$H$2:$H$500&gt;'Week 2 Schedule'!$J$2:$J$500))+SUMPRODUCT(--('Week 2 Schedule'!$G$2:$G$500=$H$28),--('Week 2 Schedule'!$I$2:$I$500=$A33),--('Week 2 Schedule'!$J$2:$J$500&gt;'Week 2 Schedule'!$H$2:$H$500)))+(SUMPRODUCT(--('Week 3 Schedule'!$B$2:$B$500=$A33),--('Week 3 Schedule'!$D$2:$D$500=$H$28),--('Week 3 Schedule'!$C$2:$C$500&gt;'Week 3 Schedule'!$E$2:$E$500))+SUMPRODUCT(--('Week 3 Schedule'!$B$2:$B$500=$H$28),--('Week 3 Schedule'!$D$2:$D$500=$A33),--('Week 3 Schedule'!$E$2:$E$500&gt;'Week 3 Schedule'!$C$2:$C$500)))+(SUMPRODUCT(--('Week 3 Schedule'!$G$2:$G$500=$A33),--('Week 3 Schedule'!$I$2:$I$500=$H$28),--('Week 3 Schedule'!$H$2:$H$500&gt;'Week 3 Schedule'!$J$2:$J$500))+SUMPRODUCT(--('Week 3 Schedule'!$G$2:$G$500=$H$28),--('Week 3 Schedule'!$I$2:$I$500=$A33),--('Week 3 Schedule'!$J$2:$J$500&gt;'Week 3 Schedule'!$H$2:$H$500)))+(SUMPRODUCT(--('Week 4 Schedule'!$B$2:$B$500=$A33),--('Week 4 Schedule'!$D$2:$D$500=$H$28),--('Week 4 Schedule'!$C$2:$C$500&gt;'Week 4 Schedule'!$E$2:$E$500))+SUMPRODUCT(--('Week 4 Schedule'!$B$2:$B$500=$H$28),--('Week 4 Schedule'!$D$2:$D$500=$A33),--('Week 4 Schedule'!$E$2:$E$500&gt;'Week 4 Schedule'!$C$2:$C$500)))+(SUMPRODUCT(--('Week 4 Schedule'!$G$2:$G$500=$A33),--('Week 4 Schedule'!$I$2:$I$500=$H$28),--('Week 4 Schedule'!$H$2:$H$500&gt;'Week 4 Schedule'!$J$2:$J$500))+SUMPRODUCT(--('Week 4 Schedule'!$G$2:$G$500=$H$28),--('Week 4 Schedule'!$I$2:$I$500=$A33),--('Week 4 Schedule'!$J$2:$J$500&gt;'Week 4 Schedule'!$H$2:$H$500)))+(SUMPRODUCT(--('Week 5 Schedule'!$B$2:$B$500=$A33),--('Week 5 Schedule'!$D$2:$D$500=$H$28),--('Week 5 Schedule'!$C$2:$C$500&gt;'Week 5 Schedule'!$E$2:$E$500))+SUMPRODUCT(--('Week 5 Schedule'!$B$2:$B$500=$H$28),--('Week 5 Schedule'!$D$2:$D$500=$A33),--('Week 5 Schedule'!$E$2:$E$500&gt;'Week 5 Schedule'!$C$2:$C$500)))+(SUMPRODUCT(--('Week 5 Schedule'!$G$2:$G$500=$A33),--('Week 5 Schedule'!$I$2:$I$500=$H$28),--('Week 5 Schedule'!$H$2:$H$500&gt;'Week 5 Schedule'!$J$2:$J$500))+SUMPRODUCT(--('Week 5 Schedule'!$G$2:$G$500=$H$28),--('Week 5 Schedule'!$I$2:$I$500=$A33),--('Week 5 Schedule'!$J$2:$J$500&gt;'Week 5 Schedule'!$H$2:$H$500)))+(SUMPRODUCT(--('Week 6 Schedule'!$B$2:$B$500=$A33),--('Week 6 Schedule'!$D$2:$D$500=$H$28),--('Week 6 Schedule'!$C$2:$C$500&gt;'Week 6 Schedule'!$E$2:$E$500))+SUMPRODUCT(--('Week 6 Schedule'!$B$2:$B$500=$H$28),--('Week 6 Schedule'!$D$2:$D$500=$A33),--('Week 6 Schedule'!$E$2:$E$500&gt;'Week 6 Schedule'!$C$2:$C$500)))+(SUMPRODUCT(--('Week 6 Schedule'!$G$2:$G$500=$A33),--('Week 6 Schedule'!$I$2:$I$500=$H$28),--('Week 6 Schedule'!$H$2:$H$500&gt;'Week 6 Schedule'!$J$2:$J$500))+SUMPRODUCT(--('Week 6 Schedule'!$G$2:$G$500=$H$28),--('Week 6 Schedule'!$I$2:$I$500=$A33),--('Week 6 Schedule'!$J$2:$J$500&gt;'Week 6 Schedule'!$H$2:$H$500)))</f>
        <v/>
      </c>
      <c r="I33" s="9">
        <f>(SUMPRODUCT(--('Week 1 Schedule'!$B$2:$B$500=$A33),--('Week 1 Schedule'!$D$2:$D$500=$I$28),--('Week 1 Schedule'!$C$2:$C$500&gt;'Week 1 Schedule'!$E$2:$E$500))+SUMPRODUCT(--('Week 1 Schedule'!$B$2:$B$500=$I$28),--('Week 1 Schedule'!$D$2:$D$500=$A33),--('Week 1 Schedule'!$E$2:$E$500&gt;'Week 1 Schedule'!$C$2:$C$500)))+(SUMPRODUCT(--('Week 1 Schedule'!$G$2:$G$500=$A33),--('Week 1 Schedule'!$I$2:$I$500=$I$28),--('Week 1 Schedule'!$H$2:$H$500&gt;'Week 1 Schedule'!$J$2:$J$500))+SUMPRODUCT(--('Week 1 Schedule'!$G$2:$G$500=$I$28),--('Week 1 Schedule'!$I$2:$I$500=$A33),--('Week 1 Schedule'!$J$2:$J$500&gt;'Week 1 Schedule'!$H$2:$H$500)))+(SUMPRODUCT(--('Week 2 Schedule'!$B$2:$B$500=$A33),--('Week 2 Schedule'!$D$2:$D$500=$I$28),--('Week 2 Schedule'!$C$2:$C$500&gt;'Week 2 Schedule'!$E$2:$E$500))+SUMPRODUCT(--('Week 2 Schedule'!$B$2:$B$500=$I$28),--('Week 2 Schedule'!$D$2:$D$500=$A33),--('Week 2 Schedule'!$E$2:$E$500&gt;'Week 2 Schedule'!$C$2:$C$500)))+(SUMPRODUCT(--('Week 2 Schedule'!$G$2:$G$500=$A33),--('Week 2 Schedule'!$I$2:$I$500=$I$28),--('Week 2 Schedule'!$H$2:$H$500&gt;'Week 2 Schedule'!$J$2:$J$500))+SUMPRODUCT(--('Week 2 Schedule'!$G$2:$G$500=$I$28),--('Week 2 Schedule'!$I$2:$I$500=$A33),--('Week 2 Schedule'!$J$2:$J$500&gt;'Week 2 Schedule'!$H$2:$H$500)))+(SUMPRODUCT(--('Week 3 Schedule'!$B$2:$B$500=$A33),--('Week 3 Schedule'!$D$2:$D$500=$I$28),--('Week 3 Schedule'!$C$2:$C$500&gt;'Week 3 Schedule'!$E$2:$E$500))+SUMPRODUCT(--('Week 3 Schedule'!$B$2:$B$500=$I$28),--('Week 3 Schedule'!$D$2:$D$500=$A33),--('Week 3 Schedule'!$E$2:$E$500&gt;'Week 3 Schedule'!$C$2:$C$500)))+(SUMPRODUCT(--('Week 3 Schedule'!$G$2:$G$500=$A33),--('Week 3 Schedule'!$I$2:$I$500=$I$28),--('Week 3 Schedule'!$H$2:$H$500&gt;'Week 3 Schedule'!$J$2:$J$500))+SUMPRODUCT(--('Week 3 Schedule'!$G$2:$G$500=$I$28),--('Week 3 Schedule'!$I$2:$I$500=$A33),--('Week 3 Schedule'!$J$2:$J$500&gt;'Week 3 Schedule'!$H$2:$H$500)))+(SUMPRODUCT(--('Week 4 Schedule'!$B$2:$B$500=$A33),--('Week 4 Schedule'!$D$2:$D$500=$I$28),--('Week 4 Schedule'!$C$2:$C$500&gt;'Week 4 Schedule'!$E$2:$E$500))+SUMPRODUCT(--('Week 4 Schedule'!$B$2:$B$500=$I$28),--('Week 4 Schedule'!$D$2:$D$500=$A33),--('Week 4 Schedule'!$E$2:$E$500&gt;'Week 4 Schedule'!$C$2:$C$500)))+(SUMPRODUCT(--('Week 4 Schedule'!$G$2:$G$500=$A33),--('Week 4 Schedule'!$I$2:$I$500=$I$28),--('Week 4 Schedule'!$H$2:$H$500&gt;'Week 4 Schedule'!$J$2:$J$500))+SUMPRODUCT(--('Week 4 Schedule'!$G$2:$G$500=$I$28),--('Week 4 Schedule'!$I$2:$I$500=$A33),--('Week 4 Schedule'!$J$2:$J$500&gt;'Week 4 Schedule'!$H$2:$H$500)))+(SUMPRODUCT(--('Week 5 Schedule'!$B$2:$B$500=$A33),--('Week 5 Schedule'!$D$2:$D$500=$I$28),--('Week 5 Schedule'!$C$2:$C$500&gt;'Week 5 Schedule'!$E$2:$E$500))+SUMPRODUCT(--('Week 5 Schedule'!$B$2:$B$500=$I$28),--('Week 5 Schedule'!$D$2:$D$500=$A33),--('Week 5 Schedule'!$E$2:$E$500&gt;'Week 5 Schedule'!$C$2:$C$500)))+(SUMPRODUCT(--('Week 5 Schedule'!$G$2:$G$500=$A33),--('Week 5 Schedule'!$I$2:$I$500=$I$28),--('Week 5 Schedule'!$H$2:$H$500&gt;'Week 5 Schedule'!$J$2:$J$500))+SUMPRODUCT(--('Week 5 Schedule'!$G$2:$G$500=$I$28),--('Week 5 Schedule'!$I$2:$I$500=$A33),--('Week 5 Schedule'!$J$2:$J$500&gt;'Week 5 Schedule'!$H$2:$H$500)))+(SUMPRODUCT(--('Week 6 Schedule'!$B$2:$B$500=$A33),--('Week 6 Schedule'!$D$2:$D$500=$I$28),--('Week 6 Schedule'!$C$2:$C$500&gt;'Week 6 Schedule'!$E$2:$E$500))+SUMPRODUCT(--('Week 6 Schedule'!$B$2:$B$500=$I$28),--('Week 6 Schedule'!$D$2:$D$500=$A33),--('Week 6 Schedule'!$E$2:$E$500&gt;'Week 6 Schedule'!$C$2:$C$500)))+(SUMPRODUCT(--('Week 6 Schedule'!$G$2:$G$500=$A33),--('Week 6 Schedule'!$I$2:$I$500=$I$28),--('Week 6 Schedule'!$H$2:$H$500&gt;'Week 6 Schedule'!$J$2:$J$500))+SUMPRODUCT(--('Week 6 Schedule'!$G$2:$G$500=$I$28),--('Week 6 Schedule'!$I$2:$I$500=$A33),--('Week 6 Schedule'!$J$2:$J$500&gt;'Week 6 Schedule'!$H$2:$H$500)))</f>
        <v/>
      </c>
      <c r="J33" s="9" t="n"/>
      <c r="K33" s="9" t="n"/>
      <c r="L33" s="9" t="n"/>
      <c r="M33" s="9" t="n"/>
    </row>
    <row r="34">
      <c r="A34" s="9" t="inlineStr">
        <is>
          <t>Team 6</t>
        </is>
      </c>
      <c r="B34" s="9">
        <f>(SUMPRODUCT(--('Week 1 Schedule'!$B$2:$B$500=$A34),--('Week 1 Schedule'!$D$2:$D$500=$B$28),--('Week 1 Schedule'!$C$2:$C$500&gt;'Week 1 Schedule'!$E$2:$E$500))+SUMPRODUCT(--('Week 1 Schedule'!$B$2:$B$500=$B$28),--('Week 1 Schedule'!$D$2:$D$500=$A34),--('Week 1 Schedule'!$E$2:$E$500&gt;'Week 1 Schedule'!$C$2:$C$500)))+(SUMPRODUCT(--('Week 1 Schedule'!$G$2:$G$500=$A34),--('Week 1 Schedule'!$I$2:$I$500=$B$28),--('Week 1 Schedule'!$H$2:$H$500&gt;'Week 1 Schedule'!$J$2:$J$500))+SUMPRODUCT(--('Week 1 Schedule'!$G$2:$G$500=$B$28),--('Week 1 Schedule'!$I$2:$I$500=$A34),--('Week 1 Schedule'!$J$2:$J$500&gt;'Week 1 Schedule'!$H$2:$H$500)))+(SUMPRODUCT(--('Week 2 Schedule'!$B$2:$B$500=$A34),--('Week 2 Schedule'!$D$2:$D$500=$B$28),--('Week 2 Schedule'!$C$2:$C$500&gt;'Week 2 Schedule'!$E$2:$E$500))+SUMPRODUCT(--('Week 2 Schedule'!$B$2:$B$500=$B$28),--('Week 2 Schedule'!$D$2:$D$500=$A34),--('Week 2 Schedule'!$E$2:$E$500&gt;'Week 2 Schedule'!$C$2:$C$500)))+(SUMPRODUCT(--('Week 2 Schedule'!$G$2:$G$500=$A34),--('Week 2 Schedule'!$I$2:$I$500=$B$28),--('Week 2 Schedule'!$H$2:$H$500&gt;'Week 2 Schedule'!$J$2:$J$500))+SUMPRODUCT(--('Week 2 Schedule'!$G$2:$G$500=$B$28),--('Week 2 Schedule'!$I$2:$I$500=$A34),--('Week 2 Schedule'!$J$2:$J$500&gt;'Week 2 Schedule'!$H$2:$H$500)))+(SUMPRODUCT(--('Week 3 Schedule'!$B$2:$B$500=$A34),--('Week 3 Schedule'!$D$2:$D$500=$B$28),--('Week 3 Schedule'!$C$2:$C$500&gt;'Week 3 Schedule'!$E$2:$E$500))+SUMPRODUCT(--('Week 3 Schedule'!$B$2:$B$500=$B$28),--('Week 3 Schedule'!$D$2:$D$500=$A34),--('Week 3 Schedule'!$E$2:$E$500&gt;'Week 3 Schedule'!$C$2:$C$500)))+(SUMPRODUCT(--('Week 3 Schedule'!$G$2:$G$500=$A34),--('Week 3 Schedule'!$I$2:$I$500=$B$28),--('Week 3 Schedule'!$H$2:$H$500&gt;'Week 3 Schedule'!$J$2:$J$500))+SUMPRODUCT(--('Week 3 Schedule'!$G$2:$G$500=$B$28),--('Week 3 Schedule'!$I$2:$I$500=$A34),--('Week 3 Schedule'!$J$2:$J$500&gt;'Week 3 Schedule'!$H$2:$H$500)))+(SUMPRODUCT(--('Week 4 Schedule'!$B$2:$B$500=$A34),--('Week 4 Schedule'!$D$2:$D$500=$B$28),--('Week 4 Schedule'!$C$2:$C$500&gt;'Week 4 Schedule'!$E$2:$E$500))+SUMPRODUCT(--('Week 4 Schedule'!$B$2:$B$500=$B$28),--('Week 4 Schedule'!$D$2:$D$500=$A34),--('Week 4 Schedule'!$E$2:$E$500&gt;'Week 4 Schedule'!$C$2:$C$500)))+(SUMPRODUCT(--('Week 4 Schedule'!$G$2:$G$500=$A34),--('Week 4 Schedule'!$I$2:$I$500=$B$28),--('Week 4 Schedule'!$H$2:$H$500&gt;'Week 4 Schedule'!$J$2:$J$500))+SUMPRODUCT(--('Week 4 Schedule'!$G$2:$G$500=$B$28),--('Week 4 Schedule'!$I$2:$I$500=$A34),--('Week 4 Schedule'!$J$2:$J$500&gt;'Week 4 Schedule'!$H$2:$H$500)))+(SUMPRODUCT(--('Week 5 Schedule'!$B$2:$B$500=$A34),--('Week 5 Schedule'!$D$2:$D$500=$B$28),--('Week 5 Schedule'!$C$2:$C$500&gt;'Week 5 Schedule'!$E$2:$E$500))+SUMPRODUCT(--('Week 5 Schedule'!$B$2:$B$500=$B$28),--('Week 5 Schedule'!$D$2:$D$500=$A34),--('Week 5 Schedule'!$E$2:$E$500&gt;'Week 5 Schedule'!$C$2:$C$500)))+(SUMPRODUCT(--('Week 5 Schedule'!$G$2:$G$500=$A34),--('Week 5 Schedule'!$I$2:$I$500=$B$28),--('Week 5 Schedule'!$H$2:$H$500&gt;'Week 5 Schedule'!$J$2:$J$500))+SUMPRODUCT(--('Week 5 Schedule'!$G$2:$G$500=$B$28),--('Week 5 Schedule'!$I$2:$I$500=$A34),--('Week 5 Schedule'!$J$2:$J$500&gt;'Week 5 Schedule'!$H$2:$H$500)))+(SUMPRODUCT(--('Week 6 Schedule'!$B$2:$B$500=$A34),--('Week 6 Schedule'!$D$2:$D$500=$B$28),--('Week 6 Schedule'!$C$2:$C$500&gt;'Week 6 Schedule'!$E$2:$E$500))+SUMPRODUCT(--('Week 6 Schedule'!$B$2:$B$500=$B$28),--('Week 6 Schedule'!$D$2:$D$500=$A34),--('Week 6 Schedule'!$E$2:$E$500&gt;'Week 6 Schedule'!$C$2:$C$500)))+(SUMPRODUCT(--('Week 6 Schedule'!$G$2:$G$500=$A34),--('Week 6 Schedule'!$I$2:$I$500=$B$28),--('Week 6 Schedule'!$H$2:$H$500&gt;'Week 6 Schedule'!$J$2:$J$500))+SUMPRODUCT(--('Week 6 Schedule'!$G$2:$G$500=$B$28),--('Week 6 Schedule'!$I$2:$I$500=$A34),--('Week 6 Schedule'!$J$2:$J$500&gt;'Week 6 Schedule'!$H$2:$H$500)))</f>
        <v/>
      </c>
      <c r="C34" s="9">
        <f>(SUMPRODUCT(--('Week 1 Schedule'!$B$2:$B$500=$A34),--('Week 1 Schedule'!$D$2:$D$500=$C$28),--('Week 1 Schedule'!$C$2:$C$500&gt;'Week 1 Schedule'!$E$2:$E$500))+SUMPRODUCT(--('Week 1 Schedule'!$B$2:$B$500=$C$28),--('Week 1 Schedule'!$D$2:$D$500=$A34),--('Week 1 Schedule'!$E$2:$E$500&gt;'Week 1 Schedule'!$C$2:$C$500)))+(SUMPRODUCT(--('Week 1 Schedule'!$G$2:$G$500=$A34),--('Week 1 Schedule'!$I$2:$I$500=$C$28),--('Week 1 Schedule'!$H$2:$H$500&gt;'Week 1 Schedule'!$J$2:$J$500))+SUMPRODUCT(--('Week 1 Schedule'!$G$2:$G$500=$C$28),--('Week 1 Schedule'!$I$2:$I$500=$A34),--('Week 1 Schedule'!$J$2:$J$500&gt;'Week 1 Schedule'!$H$2:$H$500)))+(SUMPRODUCT(--('Week 2 Schedule'!$B$2:$B$500=$A34),--('Week 2 Schedule'!$D$2:$D$500=$C$28),--('Week 2 Schedule'!$C$2:$C$500&gt;'Week 2 Schedule'!$E$2:$E$500))+SUMPRODUCT(--('Week 2 Schedule'!$B$2:$B$500=$C$28),--('Week 2 Schedule'!$D$2:$D$500=$A34),--('Week 2 Schedule'!$E$2:$E$500&gt;'Week 2 Schedule'!$C$2:$C$500)))+(SUMPRODUCT(--('Week 2 Schedule'!$G$2:$G$500=$A34),--('Week 2 Schedule'!$I$2:$I$500=$C$28),--('Week 2 Schedule'!$H$2:$H$500&gt;'Week 2 Schedule'!$J$2:$J$500))+SUMPRODUCT(--('Week 2 Schedule'!$G$2:$G$500=$C$28),--('Week 2 Schedule'!$I$2:$I$500=$A34),--('Week 2 Schedule'!$J$2:$J$500&gt;'Week 2 Schedule'!$H$2:$H$500)))+(SUMPRODUCT(--('Week 3 Schedule'!$B$2:$B$500=$A34),--('Week 3 Schedule'!$D$2:$D$500=$C$28),--('Week 3 Schedule'!$C$2:$C$500&gt;'Week 3 Schedule'!$E$2:$E$500))+SUMPRODUCT(--('Week 3 Schedule'!$B$2:$B$500=$C$28),--('Week 3 Schedule'!$D$2:$D$500=$A34),--('Week 3 Schedule'!$E$2:$E$500&gt;'Week 3 Schedule'!$C$2:$C$500)))+(SUMPRODUCT(--('Week 3 Schedule'!$G$2:$G$500=$A34),--('Week 3 Schedule'!$I$2:$I$500=$C$28),--('Week 3 Schedule'!$H$2:$H$500&gt;'Week 3 Schedule'!$J$2:$J$500))+SUMPRODUCT(--('Week 3 Schedule'!$G$2:$G$500=$C$28),--('Week 3 Schedule'!$I$2:$I$500=$A34),--('Week 3 Schedule'!$J$2:$J$500&gt;'Week 3 Schedule'!$H$2:$H$500)))+(SUMPRODUCT(--('Week 4 Schedule'!$B$2:$B$500=$A34),--('Week 4 Schedule'!$D$2:$D$500=$C$28),--('Week 4 Schedule'!$C$2:$C$500&gt;'Week 4 Schedule'!$E$2:$E$500))+SUMPRODUCT(--('Week 4 Schedule'!$B$2:$B$500=$C$28),--('Week 4 Schedule'!$D$2:$D$500=$A34),--('Week 4 Schedule'!$E$2:$E$500&gt;'Week 4 Schedule'!$C$2:$C$500)))+(SUMPRODUCT(--('Week 4 Schedule'!$G$2:$G$500=$A34),--('Week 4 Schedule'!$I$2:$I$500=$C$28),--('Week 4 Schedule'!$H$2:$H$500&gt;'Week 4 Schedule'!$J$2:$J$500))+SUMPRODUCT(--('Week 4 Schedule'!$G$2:$G$500=$C$28),--('Week 4 Schedule'!$I$2:$I$500=$A34),--('Week 4 Schedule'!$J$2:$J$500&gt;'Week 4 Schedule'!$H$2:$H$500)))+(SUMPRODUCT(--('Week 5 Schedule'!$B$2:$B$500=$A34),--('Week 5 Schedule'!$D$2:$D$500=$C$28),--('Week 5 Schedule'!$C$2:$C$500&gt;'Week 5 Schedule'!$E$2:$E$500))+SUMPRODUCT(--('Week 5 Schedule'!$B$2:$B$500=$C$28),--('Week 5 Schedule'!$D$2:$D$500=$A34),--('Week 5 Schedule'!$E$2:$E$500&gt;'Week 5 Schedule'!$C$2:$C$500)))+(SUMPRODUCT(--('Week 5 Schedule'!$G$2:$G$500=$A34),--('Week 5 Schedule'!$I$2:$I$500=$C$28),--('Week 5 Schedule'!$H$2:$H$500&gt;'Week 5 Schedule'!$J$2:$J$500))+SUMPRODUCT(--('Week 5 Schedule'!$G$2:$G$500=$C$28),--('Week 5 Schedule'!$I$2:$I$500=$A34),--('Week 5 Schedule'!$J$2:$J$500&gt;'Week 5 Schedule'!$H$2:$H$500)))+(SUMPRODUCT(--('Week 6 Schedule'!$B$2:$B$500=$A34),--('Week 6 Schedule'!$D$2:$D$500=$C$28),--('Week 6 Schedule'!$C$2:$C$500&gt;'Week 6 Schedule'!$E$2:$E$500))+SUMPRODUCT(--('Week 6 Schedule'!$B$2:$B$500=$C$28),--('Week 6 Schedule'!$D$2:$D$500=$A34),--('Week 6 Schedule'!$E$2:$E$500&gt;'Week 6 Schedule'!$C$2:$C$500)))+(SUMPRODUCT(--('Week 6 Schedule'!$G$2:$G$500=$A34),--('Week 6 Schedule'!$I$2:$I$500=$C$28),--('Week 6 Schedule'!$H$2:$H$500&gt;'Week 6 Schedule'!$J$2:$J$500))+SUMPRODUCT(--('Week 6 Schedule'!$G$2:$G$500=$C$28),--('Week 6 Schedule'!$I$2:$I$500=$A34),--('Week 6 Schedule'!$J$2:$J$500&gt;'Week 6 Schedule'!$H$2:$H$500)))</f>
        <v/>
      </c>
      <c r="D34" s="9">
        <f>(SUMPRODUCT(--('Week 1 Schedule'!$B$2:$B$500=$A34),--('Week 1 Schedule'!$D$2:$D$500=$D$28),--('Week 1 Schedule'!$C$2:$C$500&gt;'Week 1 Schedule'!$E$2:$E$500))+SUMPRODUCT(--('Week 1 Schedule'!$B$2:$B$500=$D$28),--('Week 1 Schedule'!$D$2:$D$500=$A34),--('Week 1 Schedule'!$E$2:$E$500&gt;'Week 1 Schedule'!$C$2:$C$500)))+(SUMPRODUCT(--('Week 1 Schedule'!$G$2:$G$500=$A34),--('Week 1 Schedule'!$I$2:$I$500=$D$28),--('Week 1 Schedule'!$H$2:$H$500&gt;'Week 1 Schedule'!$J$2:$J$500))+SUMPRODUCT(--('Week 1 Schedule'!$G$2:$G$500=$D$28),--('Week 1 Schedule'!$I$2:$I$500=$A34),--('Week 1 Schedule'!$J$2:$J$500&gt;'Week 1 Schedule'!$H$2:$H$500)))+(SUMPRODUCT(--('Week 2 Schedule'!$B$2:$B$500=$A34),--('Week 2 Schedule'!$D$2:$D$500=$D$28),--('Week 2 Schedule'!$C$2:$C$500&gt;'Week 2 Schedule'!$E$2:$E$500))+SUMPRODUCT(--('Week 2 Schedule'!$B$2:$B$500=$D$28),--('Week 2 Schedule'!$D$2:$D$500=$A34),--('Week 2 Schedule'!$E$2:$E$500&gt;'Week 2 Schedule'!$C$2:$C$500)))+(SUMPRODUCT(--('Week 2 Schedule'!$G$2:$G$500=$A34),--('Week 2 Schedule'!$I$2:$I$500=$D$28),--('Week 2 Schedule'!$H$2:$H$500&gt;'Week 2 Schedule'!$J$2:$J$500))+SUMPRODUCT(--('Week 2 Schedule'!$G$2:$G$500=$D$28),--('Week 2 Schedule'!$I$2:$I$500=$A34),--('Week 2 Schedule'!$J$2:$J$500&gt;'Week 2 Schedule'!$H$2:$H$500)))+(SUMPRODUCT(--('Week 3 Schedule'!$B$2:$B$500=$A34),--('Week 3 Schedule'!$D$2:$D$500=$D$28),--('Week 3 Schedule'!$C$2:$C$500&gt;'Week 3 Schedule'!$E$2:$E$500))+SUMPRODUCT(--('Week 3 Schedule'!$B$2:$B$500=$D$28),--('Week 3 Schedule'!$D$2:$D$500=$A34),--('Week 3 Schedule'!$E$2:$E$500&gt;'Week 3 Schedule'!$C$2:$C$500)))+(SUMPRODUCT(--('Week 3 Schedule'!$G$2:$G$500=$A34),--('Week 3 Schedule'!$I$2:$I$500=$D$28),--('Week 3 Schedule'!$H$2:$H$500&gt;'Week 3 Schedule'!$J$2:$J$500))+SUMPRODUCT(--('Week 3 Schedule'!$G$2:$G$500=$D$28),--('Week 3 Schedule'!$I$2:$I$500=$A34),--('Week 3 Schedule'!$J$2:$J$500&gt;'Week 3 Schedule'!$H$2:$H$500)))+(SUMPRODUCT(--('Week 4 Schedule'!$B$2:$B$500=$A34),--('Week 4 Schedule'!$D$2:$D$500=$D$28),--('Week 4 Schedule'!$C$2:$C$500&gt;'Week 4 Schedule'!$E$2:$E$500))+SUMPRODUCT(--('Week 4 Schedule'!$B$2:$B$500=$D$28),--('Week 4 Schedule'!$D$2:$D$500=$A34),--('Week 4 Schedule'!$E$2:$E$500&gt;'Week 4 Schedule'!$C$2:$C$500)))+(SUMPRODUCT(--('Week 4 Schedule'!$G$2:$G$500=$A34),--('Week 4 Schedule'!$I$2:$I$500=$D$28),--('Week 4 Schedule'!$H$2:$H$500&gt;'Week 4 Schedule'!$J$2:$J$500))+SUMPRODUCT(--('Week 4 Schedule'!$G$2:$G$500=$D$28),--('Week 4 Schedule'!$I$2:$I$500=$A34),--('Week 4 Schedule'!$J$2:$J$500&gt;'Week 4 Schedule'!$H$2:$H$500)))+(SUMPRODUCT(--('Week 5 Schedule'!$B$2:$B$500=$A34),--('Week 5 Schedule'!$D$2:$D$500=$D$28),--('Week 5 Schedule'!$C$2:$C$500&gt;'Week 5 Schedule'!$E$2:$E$500))+SUMPRODUCT(--('Week 5 Schedule'!$B$2:$B$500=$D$28),--('Week 5 Schedule'!$D$2:$D$500=$A34),--('Week 5 Schedule'!$E$2:$E$500&gt;'Week 5 Schedule'!$C$2:$C$500)))+(SUMPRODUCT(--('Week 5 Schedule'!$G$2:$G$500=$A34),--('Week 5 Schedule'!$I$2:$I$500=$D$28),--('Week 5 Schedule'!$H$2:$H$500&gt;'Week 5 Schedule'!$J$2:$J$500))+SUMPRODUCT(--('Week 5 Schedule'!$G$2:$G$500=$D$28),--('Week 5 Schedule'!$I$2:$I$500=$A34),--('Week 5 Schedule'!$J$2:$J$500&gt;'Week 5 Schedule'!$H$2:$H$500)))+(SUMPRODUCT(--('Week 6 Schedule'!$B$2:$B$500=$A34),--('Week 6 Schedule'!$D$2:$D$500=$D$28),--('Week 6 Schedule'!$C$2:$C$500&gt;'Week 6 Schedule'!$E$2:$E$500))+SUMPRODUCT(--('Week 6 Schedule'!$B$2:$B$500=$D$28),--('Week 6 Schedule'!$D$2:$D$500=$A34),--('Week 6 Schedule'!$E$2:$E$500&gt;'Week 6 Schedule'!$C$2:$C$500)))+(SUMPRODUCT(--('Week 6 Schedule'!$G$2:$G$500=$A34),--('Week 6 Schedule'!$I$2:$I$500=$D$28),--('Week 6 Schedule'!$H$2:$H$500&gt;'Week 6 Schedule'!$J$2:$J$500))+SUMPRODUCT(--('Week 6 Schedule'!$G$2:$G$500=$D$28),--('Week 6 Schedule'!$I$2:$I$500=$A34),--('Week 6 Schedule'!$J$2:$J$500&gt;'Week 6 Schedule'!$H$2:$H$500)))</f>
        <v/>
      </c>
      <c r="E34" s="9">
        <f>(SUMPRODUCT(--('Week 1 Schedule'!$B$2:$B$500=$A34),--('Week 1 Schedule'!$D$2:$D$500=$E$28),--('Week 1 Schedule'!$C$2:$C$500&gt;'Week 1 Schedule'!$E$2:$E$500))+SUMPRODUCT(--('Week 1 Schedule'!$B$2:$B$500=$E$28),--('Week 1 Schedule'!$D$2:$D$500=$A34),--('Week 1 Schedule'!$E$2:$E$500&gt;'Week 1 Schedule'!$C$2:$C$500)))+(SUMPRODUCT(--('Week 1 Schedule'!$G$2:$G$500=$A34),--('Week 1 Schedule'!$I$2:$I$500=$E$28),--('Week 1 Schedule'!$H$2:$H$500&gt;'Week 1 Schedule'!$J$2:$J$500))+SUMPRODUCT(--('Week 1 Schedule'!$G$2:$G$500=$E$28),--('Week 1 Schedule'!$I$2:$I$500=$A34),--('Week 1 Schedule'!$J$2:$J$500&gt;'Week 1 Schedule'!$H$2:$H$500)))+(SUMPRODUCT(--('Week 2 Schedule'!$B$2:$B$500=$A34),--('Week 2 Schedule'!$D$2:$D$500=$E$28),--('Week 2 Schedule'!$C$2:$C$500&gt;'Week 2 Schedule'!$E$2:$E$500))+SUMPRODUCT(--('Week 2 Schedule'!$B$2:$B$500=$E$28),--('Week 2 Schedule'!$D$2:$D$500=$A34),--('Week 2 Schedule'!$E$2:$E$500&gt;'Week 2 Schedule'!$C$2:$C$500)))+(SUMPRODUCT(--('Week 2 Schedule'!$G$2:$G$500=$A34),--('Week 2 Schedule'!$I$2:$I$500=$E$28),--('Week 2 Schedule'!$H$2:$H$500&gt;'Week 2 Schedule'!$J$2:$J$500))+SUMPRODUCT(--('Week 2 Schedule'!$G$2:$G$500=$E$28),--('Week 2 Schedule'!$I$2:$I$500=$A34),--('Week 2 Schedule'!$J$2:$J$500&gt;'Week 2 Schedule'!$H$2:$H$500)))+(SUMPRODUCT(--('Week 3 Schedule'!$B$2:$B$500=$A34),--('Week 3 Schedule'!$D$2:$D$500=$E$28),--('Week 3 Schedule'!$C$2:$C$500&gt;'Week 3 Schedule'!$E$2:$E$500))+SUMPRODUCT(--('Week 3 Schedule'!$B$2:$B$500=$E$28),--('Week 3 Schedule'!$D$2:$D$500=$A34),--('Week 3 Schedule'!$E$2:$E$500&gt;'Week 3 Schedule'!$C$2:$C$500)))+(SUMPRODUCT(--('Week 3 Schedule'!$G$2:$G$500=$A34),--('Week 3 Schedule'!$I$2:$I$500=$E$28),--('Week 3 Schedule'!$H$2:$H$500&gt;'Week 3 Schedule'!$J$2:$J$500))+SUMPRODUCT(--('Week 3 Schedule'!$G$2:$G$500=$E$28),--('Week 3 Schedule'!$I$2:$I$500=$A34),--('Week 3 Schedule'!$J$2:$J$500&gt;'Week 3 Schedule'!$H$2:$H$500)))+(SUMPRODUCT(--('Week 4 Schedule'!$B$2:$B$500=$A34),--('Week 4 Schedule'!$D$2:$D$500=$E$28),--('Week 4 Schedule'!$C$2:$C$500&gt;'Week 4 Schedule'!$E$2:$E$500))+SUMPRODUCT(--('Week 4 Schedule'!$B$2:$B$500=$E$28),--('Week 4 Schedule'!$D$2:$D$500=$A34),--('Week 4 Schedule'!$E$2:$E$500&gt;'Week 4 Schedule'!$C$2:$C$500)))+(SUMPRODUCT(--('Week 4 Schedule'!$G$2:$G$500=$A34),--('Week 4 Schedule'!$I$2:$I$500=$E$28),--('Week 4 Schedule'!$H$2:$H$500&gt;'Week 4 Schedule'!$J$2:$J$500))+SUMPRODUCT(--('Week 4 Schedule'!$G$2:$G$500=$E$28),--('Week 4 Schedule'!$I$2:$I$500=$A34),--('Week 4 Schedule'!$J$2:$J$500&gt;'Week 4 Schedule'!$H$2:$H$500)))+(SUMPRODUCT(--('Week 5 Schedule'!$B$2:$B$500=$A34),--('Week 5 Schedule'!$D$2:$D$500=$E$28),--('Week 5 Schedule'!$C$2:$C$500&gt;'Week 5 Schedule'!$E$2:$E$500))+SUMPRODUCT(--('Week 5 Schedule'!$B$2:$B$500=$E$28),--('Week 5 Schedule'!$D$2:$D$500=$A34),--('Week 5 Schedule'!$E$2:$E$500&gt;'Week 5 Schedule'!$C$2:$C$500)))+(SUMPRODUCT(--('Week 5 Schedule'!$G$2:$G$500=$A34),--('Week 5 Schedule'!$I$2:$I$500=$E$28),--('Week 5 Schedule'!$H$2:$H$500&gt;'Week 5 Schedule'!$J$2:$J$500))+SUMPRODUCT(--('Week 5 Schedule'!$G$2:$G$500=$E$28),--('Week 5 Schedule'!$I$2:$I$500=$A34),--('Week 5 Schedule'!$J$2:$J$500&gt;'Week 5 Schedule'!$H$2:$H$500)))+(SUMPRODUCT(--('Week 6 Schedule'!$B$2:$B$500=$A34),--('Week 6 Schedule'!$D$2:$D$500=$E$28),--('Week 6 Schedule'!$C$2:$C$500&gt;'Week 6 Schedule'!$E$2:$E$500))+SUMPRODUCT(--('Week 6 Schedule'!$B$2:$B$500=$E$28),--('Week 6 Schedule'!$D$2:$D$500=$A34),--('Week 6 Schedule'!$E$2:$E$500&gt;'Week 6 Schedule'!$C$2:$C$500)))+(SUMPRODUCT(--('Week 6 Schedule'!$G$2:$G$500=$A34),--('Week 6 Schedule'!$I$2:$I$500=$E$28),--('Week 6 Schedule'!$H$2:$H$500&gt;'Week 6 Schedule'!$J$2:$J$500))+SUMPRODUCT(--('Week 6 Schedule'!$G$2:$G$500=$E$28),--('Week 6 Schedule'!$I$2:$I$500=$A34),--('Week 6 Schedule'!$J$2:$J$500&gt;'Week 6 Schedule'!$H$2:$H$500)))</f>
        <v/>
      </c>
      <c r="F34" s="9">
        <f>(SUMPRODUCT(--('Week 1 Schedule'!$B$2:$B$500=$A34),--('Week 1 Schedule'!$D$2:$D$500=$F$28),--('Week 1 Schedule'!$C$2:$C$500&gt;'Week 1 Schedule'!$E$2:$E$500))+SUMPRODUCT(--('Week 1 Schedule'!$B$2:$B$500=$F$28),--('Week 1 Schedule'!$D$2:$D$500=$A34),--('Week 1 Schedule'!$E$2:$E$500&gt;'Week 1 Schedule'!$C$2:$C$500)))+(SUMPRODUCT(--('Week 1 Schedule'!$G$2:$G$500=$A34),--('Week 1 Schedule'!$I$2:$I$500=$F$28),--('Week 1 Schedule'!$H$2:$H$500&gt;'Week 1 Schedule'!$J$2:$J$500))+SUMPRODUCT(--('Week 1 Schedule'!$G$2:$G$500=$F$28),--('Week 1 Schedule'!$I$2:$I$500=$A34),--('Week 1 Schedule'!$J$2:$J$500&gt;'Week 1 Schedule'!$H$2:$H$500)))+(SUMPRODUCT(--('Week 2 Schedule'!$B$2:$B$500=$A34),--('Week 2 Schedule'!$D$2:$D$500=$F$28),--('Week 2 Schedule'!$C$2:$C$500&gt;'Week 2 Schedule'!$E$2:$E$500))+SUMPRODUCT(--('Week 2 Schedule'!$B$2:$B$500=$F$28),--('Week 2 Schedule'!$D$2:$D$500=$A34),--('Week 2 Schedule'!$E$2:$E$500&gt;'Week 2 Schedule'!$C$2:$C$500)))+(SUMPRODUCT(--('Week 2 Schedule'!$G$2:$G$500=$A34),--('Week 2 Schedule'!$I$2:$I$500=$F$28),--('Week 2 Schedule'!$H$2:$H$500&gt;'Week 2 Schedule'!$J$2:$J$500))+SUMPRODUCT(--('Week 2 Schedule'!$G$2:$G$500=$F$28),--('Week 2 Schedule'!$I$2:$I$500=$A34),--('Week 2 Schedule'!$J$2:$J$500&gt;'Week 2 Schedule'!$H$2:$H$500)))+(SUMPRODUCT(--('Week 3 Schedule'!$B$2:$B$500=$A34),--('Week 3 Schedule'!$D$2:$D$500=$F$28),--('Week 3 Schedule'!$C$2:$C$500&gt;'Week 3 Schedule'!$E$2:$E$500))+SUMPRODUCT(--('Week 3 Schedule'!$B$2:$B$500=$F$28),--('Week 3 Schedule'!$D$2:$D$500=$A34),--('Week 3 Schedule'!$E$2:$E$500&gt;'Week 3 Schedule'!$C$2:$C$500)))+(SUMPRODUCT(--('Week 3 Schedule'!$G$2:$G$500=$A34),--('Week 3 Schedule'!$I$2:$I$500=$F$28),--('Week 3 Schedule'!$H$2:$H$500&gt;'Week 3 Schedule'!$J$2:$J$500))+SUMPRODUCT(--('Week 3 Schedule'!$G$2:$G$500=$F$28),--('Week 3 Schedule'!$I$2:$I$500=$A34),--('Week 3 Schedule'!$J$2:$J$500&gt;'Week 3 Schedule'!$H$2:$H$500)))+(SUMPRODUCT(--('Week 4 Schedule'!$B$2:$B$500=$A34),--('Week 4 Schedule'!$D$2:$D$500=$F$28),--('Week 4 Schedule'!$C$2:$C$500&gt;'Week 4 Schedule'!$E$2:$E$500))+SUMPRODUCT(--('Week 4 Schedule'!$B$2:$B$500=$F$28),--('Week 4 Schedule'!$D$2:$D$500=$A34),--('Week 4 Schedule'!$E$2:$E$500&gt;'Week 4 Schedule'!$C$2:$C$500)))+(SUMPRODUCT(--('Week 4 Schedule'!$G$2:$G$500=$A34),--('Week 4 Schedule'!$I$2:$I$500=$F$28),--('Week 4 Schedule'!$H$2:$H$500&gt;'Week 4 Schedule'!$J$2:$J$500))+SUMPRODUCT(--('Week 4 Schedule'!$G$2:$G$500=$F$28),--('Week 4 Schedule'!$I$2:$I$500=$A34),--('Week 4 Schedule'!$J$2:$J$500&gt;'Week 4 Schedule'!$H$2:$H$500)))+(SUMPRODUCT(--('Week 5 Schedule'!$B$2:$B$500=$A34),--('Week 5 Schedule'!$D$2:$D$500=$F$28),--('Week 5 Schedule'!$C$2:$C$500&gt;'Week 5 Schedule'!$E$2:$E$500))+SUMPRODUCT(--('Week 5 Schedule'!$B$2:$B$500=$F$28),--('Week 5 Schedule'!$D$2:$D$500=$A34),--('Week 5 Schedule'!$E$2:$E$500&gt;'Week 5 Schedule'!$C$2:$C$500)))+(SUMPRODUCT(--('Week 5 Schedule'!$G$2:$G$500=$A34),--('Week 5 Schedule'!$I$2:$I$500=$F$28),--('Week 5 Schedule'!$H$2:$H$500&gt;'Week 5 Schedule'!$J$2:$J$500))+SUMPRODUCT(--('Week 5 Schedule'!$G$2:$G$500=$F$28),--('Week 5 Schedule'!$I$2:$I$500=$A34),--('Week 5 Schedule'!$J$2:$J$500&gt;'Week 5 Schedule'!$H$2:$H$500)))+(SUMPRODUCT(--('Week 6 Schedule'!$B$2:$B$500=$A34),--('Week 6 Schedule'!$D$2:$D$500=$F$28),--('Week 6 Schedule'!$C$2:$C$500&gt;'Week 6 Schedule'!$E$2:$E$500))+SUMPRODUCT(--('Week 6 Schedule'!$B$2:$B$500=$F$28),--('Week 6 Schedule'!$D$2:$D$500=$A34),--('Week 6 Schedule'!$E$2:$E$500&gt;'Week 6 Schedule'!$C$2:$C$500)))+(SUMPRODUCT(--('Week 6 Schedule'!$G$2:$G$500=$A34),--('Week 6 Schedule'!$I$2:$I$500=$F$28),--('Week 6 Schedule'!$H$2:$H$500&gt;'Week 6 Schedule'!$J$2:$J$500))+SUMPRODUCT(--('Week 6 Schedule'!$G$2:$G$500=$F$28),--('Week 6 Schedule'!$I$2:$I$500=$A34),--('Week 6 Schedule'!$J$2:$J$500&gt;'Week 6 Schedule'!$H$2:$H$500)))</f>
        <v/>
      </c>
      <c r="G34" s="9" t="inlineStr">
        <is>
          <t>—</t>
        </is>
      </c>
      <c r="H34" s="9">
        <f>(SUMPRODUCT(--('Week 1 Schedule'!$B$2:$B$500=$A34),--('Week 1 Schedule'!$D$2:$D$500=$H$28),--('Week 1 Schedule'!$C$2:$C$500&gt;'Week 1 Schedule'!$E$2:$E$500))+SUMPRODUCT(--('Week 1 Schedule'!$B$2:$B$500=$H$28),--('Week 1 Schedule'!$D$2:$D$500=$A34),--('Week 1 Schedule'!$E$2:$E$500&gt;'Week 1 Schedule'!$C$2:$C$500)))+(SUMPRODUCT(--('Week 1 Schedule'!$G$2:$G$500=$A34),--('Week 1 Schedule'!$I$2:$I$500=$H$28),--('Week 1 Schedule'!$H$2:$H$500&gt;'Week 1 Schedule'!$J$2:$J$500))+SUMPRODUCT(--('Week 1 Schedule'!$G$2:$G$500=$H$28),--('Week 1 Schedule'!$I$2:$I$500=$A34),--('Week 1 Schedule'!$J$2:$J$500&gt;'Week 1 Schedule'!$H$2:$H$500)))+(SUMPRODUCT(--('Week 2 Schedule'!$B$2:$B$500=$A34),--('Week 2 Schedule'!$D$2:$D$500=$H$28),--('Week 2 Schedule'!$C$2:$C$500&gt;'Week 2 Schedule'!$E$2:$E$500))+SUMPRODUCT(--('Week 2 Schedule'!$B$2:$B$500=$H$28),--('Week 2 Schedule'!$D$2:$D$500=$A34),--('Week 2 Schedule'!$E$2:$E$500&gt;'Week 2 Schedule'!$C$2:$C$500)))+(SUMPRODUCT(--('Week 2 Schedule'!$G$2:$G$500=$A34),--('Week 2 Schedule'!$I$2:$I$500=$H$28),--('Week 2 Schedule'!$H$2:$H$500&gt;'Week 2 Schedule'!$J$2:$J$500))+SUMPRODUCT(--('Week 2 Schedule'!$G$2:$G$500=$H$28),--('Week 2 Schedule'!$I$2:$I$500=$A34),--('Week 2 Schedule'!$J$2:$J$500&gt;'Week 2 Schedule'!$H$2:$H$500)))+(SUMPRODUCT(--('Week 3 Schedule'!$B$2:$B$500=$A34),--('Week 3 Schedule'!$D$2:$D$500=$H$28),--('Week 3 Schedule'!$C$2:$C$500&gt;'Week 3 Schedule'!$E$2:$E$500))+SUMPRODUCT(--('Week 3 Schedule'!$B$2:$B$500=$H$28),--('Week 3 Schedule'!$D$2:$D$500=$A34),--('Week 3 Schedule'!$E$2:$E$500&gt;'Week 3 Schedule'!$C$2:$C$500)))+(SUMPRODUCT(--('Week 3 Schedule'!$G$2:$G$500=$A34),--('Week 3 Schedule'!$I$2:$I$500=$H$28),--('Week 3 Schedule'!$H$2:$H$500&gt;'Week 3 Schedule'!$J$2:$J$500))+SUMPRODUCT(--('Week 3 Schedule'!$G$2:$G$500=$H$28),--('Week 3 Schedule'!$I$2:$I$500=$A34),--('Week 3 Schedule'!$J$2:$J$500&gt;'Week 3 Schedule'!$H$2:$H$500)))+(SUMPRODUCT(--('Week 4 Schedule'!$B$2:$B$500=$A34),--('Week 4 Schedule'!$D$2:$D$500=$H$28),--('Week 4 Schedule'!$C$2:$C$500&gt;'Week 4 Schedule'!$E$2:$E$500))+SUMPRODUCT(--('Week 4 Schedule'!$B$2:$B$500=$H$28),--('Week 4 Schedule'!$D$2:$D$500=$A34),--('Week 4 Schedule'!$E$2:$E$500&gt;'Week 4 Schedule'!$C$2:$C$500)))+(SUMPRODUCT(--('Week 4 Schedule'!$G$2:$G$500=$A34),--('Week 4 Schedule'!$I$2:$I$500=$H$28),--('Week 4 Schedule'!$H$2:$H$500&gt;'Week 4 Schedule'!$J$2:$J$500))+SUMPRODUCT(--('Week 4 Schedule'!$G$2:$G$500=$H$28),--('Week 4 Schedule'!$I$2:$I$500=$A34),--('Week 4 Schedule'!$J$2:$J$500&gt;'Week 4 Schedule'!$H$2:$H$500)))+(SUMPRODUCT(--('Week 5 Schedule'!$B$2:$B$500=$A34),--('Week 5 Schedule'!$D$2:$D$500=$H$28),--('Week 5 Schedule'!$C$2:$C$500&gt;'Week 5 Schedule'!$E$2:$E$500))+SUMPRODUCT(--('Week 5 Schedule'!$B$2:$B$500=$H$28),--('Week 5 Schedule'!$D$2:$D$500=$A34),--('Week 5 Schedule'!$E$2:$E$500&gt;'Week 5 Schedule'!$C$2:$C$500)))+(SUMPRODUCT(--('Week 5 Schedule'!$G$2:$G$500=$A34),--('Week 5 Schedule'!$I$2:$I$500=$H$28),--('Week 5 Schedule'!$H$2:$H$500&gt;'Week 5 Schedule'!$J$2:$J$500))+SUMPRODUCT(--('Week 5 Schedule'!$G$2:$G$500=$H$28),--('Week 5 Schedule'!$I$2:$I$500=$A34),--('Week 5 Schedule'!$J$2:$J$500&gt;'Week 5 Schedule'!$H$2:$H$500)))+(SUMPRODUCT(--('Week 6 Schedule'!$B$2:$B$500=$A34),--('Week 6 Schedule'!$D$2:$D$500=$H$28),--('Week 6 Schedule'!$C$2:$C$500&gt;'Week 6 Schedule'!$E$2:$E$500))+SUMPRODUCT(--('Week 6 Schedule'!$B$2:$B$500=$H$28),--('Week 6 Schedule'!$D$2:$D$500=$A34),--('Week 6 Schedule'!$E$2:$E$500&gt;'Week 6 Schedule'!$C$2:$C$500)))+(SUMPRODUCT(--('Week 6 Schedule'!$G$2:$G$500=$A34),--('Week 6 Schedule'!$I$2:$I$500=$H$28),--('Week 6 Schedule'!$H$2:$H$500&gt;'Week 6 Schedule'!$J$2:$J$500))+SUMPRODUCT(--('Week 6 Schedule'!$G$2:$G$500=$H$28),--('Week 6 Schedule'!$I$2:$I$500=$A34),--('Week 6 Schedule'!$J$2:$J$500&gt;'Week 6 Schedule'!$H$2:$H$500)))</f>
        <v/>
      </c>
      <c r="I34" s="9">
        <f>(SUMPRODUCT(--('Week 1 Schedule'!$B$2:$B$500=$A34),--('Week 1 Schedule'!$D$2:$D$500=$I$28),--('Week 1 Schedule'!$C$2:$C$500&gt;'Week 1 Schedule'!$E$2:$E$500))+SUMPRODUCT(--('Week 1 Schedule'!$B$2:$B$500=$I$28),--('Week 1 Schedule'!$D$2:$D$500=$A34),--('Week 1 Schedule'!$E$2:$E$500&gt;'Week 1 Schedule'!$C$2:$C$500)))+(SUMPRODUCT(--('Week 1 Schedule'!$G$2:$G$500=$A34),--('Week 1 Schedule'!$I$2:$I$500=$I$28),--('Week 1 Schedule'!$H$2:$H$500&gt;'Week 1 Schedule'!$J$2:$J$500))+SUMPRODUCT(--('Week 1 Schedule'!$G$2:$G$500=$I$28),--('Week 1 Schedule'!$I$2:$I$500=$A34),--('Week 1 Schedule'!$J$2:$J$500&gt;'Week 1 Schedule'!$H$2:$H$500)))+(SUMPRODUCT(--('Week 2 Schedule'!$B$2:$B$500=$A34),--('Week 2 Schedule'!$D$2:$D$500=$I$28),--('Week 2 Schedule'!$C$2:$C$500&gt;'Week 2 Schedule'!$E$2:$E$500))+SUMPRODUCT(--('Week 2 Schedule'!$B$2:$B$500=$I$28),--('Week 2 Schedule'!$D$2:$D$500=$A34),--('Week 2 Schedule'!$E$2:$E$500&gt;'Week 2 Schedule'!$C$2:$C$500)))+(SUMPRODUCT(--('Week 2 Schedule'!$G$2:$G$500=$A34),--('Week 2 Schedule'!$I$2:$I$500=$I$28),--('Week 2 Schedule'!$H$2:$H$500&gt;'Week 2 Schedule'!$J$2:$J$500))+SUMPRODUCT(--('Week 2 Schedule'!$G$2:$G$500=$I$28),--('Week 2 Schedule'!$I$2:$I$500=$A34),--('Week 2 Schedule'!$J$2:$J$500&gt;'Week 2 Schedule'!$H$2:$H$500)))+(SUMPRODUCT(--('Week 3 Schedule'!$B$2:$B$500=$A34),--('Week 3 Schedule'!$D$2:$D$500=$I$28),--('Week 3 Schedule'!$C$2:$C$500&gt;'Week 3 Schedule'!$E$2:$E$500))+SUMPRODUCT(--('Week 3 Schedule'!$B$2:$B$500=$I$28),--('Week 3 Schedule'!$D$2:$D$500=$A34),--('Week 3 Schedule'!$E$2:$E$500&gt;'Week 3 Schedule'!$C$2:$C$500)))+(SUMPRODUCT(--('Week 3 Schedule'!$G$2:$G$500=$A34),--('Week 3 Schedule'!$I$2:$I$500=$I$28),--('Week 3 Schedule'!$H$2:$H$500&gt;'Week 3 Schedule'!$J$2:$J$500))+SUMPRODUCT(--('Week 3 Schedule'!$G$2:$G$500=$I$28),--('Week 3 Schedule'!$I$2:$I$500=$A34),--('Week 3 Schedule'!$J$2:$J$500&gt;'Week 3 Schedule'!$H$2:$H$500)))+(SUMPRODUCT(--('Week 4 Schedule'!$B$2:$B$500=$A34),--('Week 4 Schedule'!$D$2:$D$500=$I$28),--('Week 4 Schedule'!$C$2:$C$500&gt;'Week 4 Schedule'!$E$2:$E$500))+SUMPRODUCT(--('Week 4 Schedule'!$B$2:$B$500=$I$28),--('Week 4 Schedule'!$D$2:$D$500=$A34),--('Week 4 Schedule'!$E$2:$E$500&gt;'Week 4 Schedule'!$C$2:$C$500)))+(SUMPRODUCT(--('Week 4 Schedule'!$G$2:$G$500=$A34),--('Week 4 Schedule'!$I$2:$I$500=$I$28),--('Week 4 Schedule'!$H$2:$H$500&gt;'Week 4 Schedule'!$J$2:$J$500))+SUMPRODUCT(--('Week 4 Schedule'!$G$2:$G$500=$I$28),--('Week 4 Schedule'!$I$2:$I$500=$A34),--('Week 4 Schedule'!$J$2:$J$500&gt;'Week 4 Schedule'!$H$2:$H$500)))+(SUMPRODUCT(--('Week 5 Schedule'!$B$2:$B$500=$A34),--('Week 5 Schedule'!$D$2:$D$500=$I$28),--('Week 5 Schedule'!$C$2:$C$500&gt;'Week 5 Schedule'!$E$2:$E$500))+SUMPRODUCT(--('Week 5 Schedule'!$B$2:$B$500=$I$28),--('Week 5 Schedule'!$D$2:$D$500=$A34),--('Week 5 Schedule'!$E$2:$E$500&gt;'Week 5 Schedule'!$C$2:$C$500)))+(SUMPRODUCT(--('Week 5 Schedule'!$G$2:$G$500=$A34),--('Week 5 Schedule'!$I$2:$I$500=$I$28),--('Week 5 Schedule'!$H$2:$H$500&gt;'Week 5 Schedule'!$J$2:$J$500))+SUMPRODUCT(--('Week 5 Schedule'!$G$2:$G$500=$I$28),--('Week 5 Schedule'!$I$2:$I$500=$A34),--('Week 5 Schedule'!$J$2:$J$500&gt;'Week 5 Schedule'!$H$2:$H$500)))+(SUMPRODUCT(--('Week 6 Schedule'!$B$2:$B$500=$A34),--('Week 6 Schedule'!$D$2:$D$500=$I$28),--('Week 6 Schedule'!$C$2:$C$500&gt;'Week 6 Schedule'!$E$2:$E$500))+SUMPRODUCT(--('Week 6 Schedule'!$B$2:$B$500=$I$28),--('Week 6 Schedule'!$D$2:$D$500=$A34),--('Week 6 Schedule'!$E$2:$E$500&gt;'Week 6 Schedule'!$C$2:$C$500)))+(SUMPRODUCT(--('Week 6 Schedule'!$G$2:$G$500=$A34),--('Week 6 Schedule'!$I$2:$I$500=$I$28),--('Week 6 Schedule'!$H$2:$H$500&gt;'Week 6 Schedule'!$J$2:$J$500))+SUMPRODUCT(--('Week 6 Schedule'!$G$2:$G$500=$I$28),--('Week 6 Schedule'!$I$2:$I$500=$A34),--('Week 6 Schedule'!$J$2:$J$500&gt;'Week 6 Schedule'!$H$2:$H$500)))</f>
        <v/>
      </c>
      <c r="J34" s="9" t="n"/>
      <c r="K34" s="9" t="n"/>
      <c r="L34" s="9" t="n"/>
      <c r="M34" s="9" t="n"/>
    </row>
    <row r="35">
      <c r="A35" s="9" t="inlineStr">
        <is>
          <t>Team 7</t>
        </is>
      </c>
      <c r="B35" s="9">
        <f>(SUMPRODUCT(--('Week 1 Schedule'!$B$2:$B$500=$A35),--('Week 1 Schedule'!$D$2:$D$500=$B$28),--('Week 1 Schedule'!$C$2:$C$500&gt;'Week 1 Schedule'!$E$2:$E$500))+SUMPRODUCT(--('Week 1 Schedule'!$B$2:$B$500=$B$28),--('Week 1 Schedule'!$D$2:$D$500=$A35),--('Week 1 Schedule'!$E$2:$E$500&gt;'Week 1 Schedule'!$C$2:$C$500)))+(SUMPRODUCT(--('Week 1 Schedule'!$G$2:$G$500=$A35),--('Week 1 Schedule'!$I$2:$I$500=$B$28),--('Week 1 Schedule'!$H$2:$H$500&gt;'Week 1 Schedule'!$J$2:$J$500))+SUMPRODUCT(--('Week 1 Schedule'!$G$2:$G$500=$B$28),--('Week 1 Schedule'!$I$2:$I$500=$A35),--('Week 1 Schedule'!$J$2:$J$500&gt;'Week 1 Schedule'!$H$2:$H$500)))+(SUMPRODUCT(--('Week 2 Schedule'!$B$2:$B$500=$A35),--('Week 2 Schedule'!$D$2:$D$500=$B$28),--('Week 2 Schedule'!$C$2:$C$500&gt;'Week 2 Schedule'!$E$2:$E$500))+SUMPRODUCT(--('Week 2 Schedule'!$B$2:$B$500=$B$28),--('Week 2 Schedule'!$D$2:$D$500=$A35),--('Week 2 Schedule'!$E$2:$E$500&gt;'Week 2 Schedule'!$C$2:$C$500)))+(SUMPRODUCT(--('Week 2 Schedule'!$G$2:$G$500=$A35),--('Week 2 Schedule'!$I$2:$I$500=$B$28),--('Week 2 Schedule'!$H$2:$H$500&gt;'Week 2 Schedule'!$J$2:$J$500))+SUMPRODUCT(--('Week 2 Schedule'!$G$2:$G$500=$B$28),--('Week 2 Schedule'!$I$2:$I$500=$A35),--('Week 2 Schedule'!$J$2:$J$500&gt;'Week 2 Schedule'!$H$2:$H$500)))+(SUMPRODUCT(--('Week 3 Schedule'!$B$2:$B$500=$A35),--('Week 3 Schedule'!$D$2:$D$500=$B$28),--('Week 3 Schedule'!$C$2:$C$500&gt;'Week 3 Schedule'!$E$2:$E$500))+SUMPRODUCT(--('Week 3 Schedule'!$B$2:$B$500=$B$28),--('Week 3 Schedule'!$D$2:$D$500=$A35),--('Week 3 Schedule'!$E$2:$E$500&gt;'Week 3 Schedule'!$C$2:$C$500)))+(SUMPRODUCT(--('Week 3 Schedule'!$G$2:$G$500=$A35),--('Week 3 Schedule'!$I$2:$I$500=$B$28),--('Week 3 Schedule'!$H$2:$H$500&gt;'Week 3 Schedule'!$J$2:$J$500))+SUMPRODUCT(--('Week 3 Schedule'!$G$2:$G$500=$B$28),--('Week 3 Schedule'!$I$2:$I$500=$A35),--('Week 3 Schedule'!$J$2:$J$500&gt;'Week 3 Schedule'!$H$2:$H$500)))+(SUMPRODUCT(--('Week 4 Schedule'!$B$2:$B$500=$A35),--('Week 4 Schedule'!$D$2:$D$500=$B$28),--('Week 4 Schedule'!$C$2:$C$500&gt;'Week 4 Schedule'!$E$2:$E$500))+SUMPRODUCT(--('Week 4 Schedule'!$B$2:$B$500=$B$28),--('Week 4 Schedule'!$D$2:$D$500=$A35),--('Week 4 Schedule'!$E$2:$E$500&gt;'Week 4 Schedule'!$C$2:$C$500)))+(SUMPRODUCT(--('Week 4 Schedule'!$G$2:$G$500=$A35),--('Week 4 Schedule'!$I$2:$I$500=$B$28),--('Week 4 Schedule'!$H$2:$H$500&gt;'Week 4 Schedule'!$J$2:$J$500))+SUMPRODUCT(--('Week 4 Schedule'!$G$2:$G$500=$B$28),--('Week 4 Schedule'!$I$2:$I$500=$A35),--('Week 4 Schedule'!$J$2:$J$500&gt;'Week 4 Schedule'!$H$2:$H$500)))+(SUMPRODUCT(--('Week 5 Schedule'!$B$2:$B$500=$A35),--('Week 5 Schedule'!$D$2:$D$500=$B$28),--('Week 5 Schedule'!$C$2:$C$500&gt;'Week 5 Schedule'!$E$2:$E$500))+SUMPRODUCT(--('Week 5 Schedule'!$B$2:$B$500=$B$28),--('Week 5 Schedule'!$D$2:$D$500=$A35),--('Week 5 Schedule'!$E$2:$E$500&gt;'Week 5 Schedule'!$C$2:$C$500)))+(SUMPRODUCT(--('Week 5 Schedule'!$G$2:$G$500=$A35),--('Week 5 Schedule'!$I$2:$I$500=$B$28),--('Week 5 Schedule'!$H$2:$H$500&gt;'Week 5 Schedule'!$J$2:$J$500))+SUMPRODUCT(--('Week 5 Schedule'!$G$2:$G$500=$B$28),--('Week 5 Schedule'!$I$2:$I$500=$A35),--('Week 5 Schedule'!$J$2:$J$500&gt;'Week 5 Schedule'!$H$2:$H$500)))+(SUMPRODUCT(--('Week 6 Schedule'!$B$2:$B$500=$A35),--('Week 6 Schedule'!$D$2:$D$500=$B$28),--('Week 6 Schedule'!$C$2:$C$500&gt;'Week 6 Schedule'!$E$2:$E$500))+SUMPRODUCT(--('Week 6 Schedule'!$B$2:$B$500=$B$28),--('Week 6 Schedule'!$D$2:$D$500=$A35),--('Week 6 Schedule'!$E$2:$E$500&gt;'Week 6 Schedule'!$C$2:$C$500)))+(SUMPRODUCT(--('Week 6 Schedule'!$G$2:$G$500=$A35),--('Week 6 Schedule'!$I$2:$I$500=$B$28),--('Week 6 Schedule'!$H$2:$H$500&gt;'Week 6 Schedule'!$J$2:$J$500))+SUMPRODUCT(--('Week 6 Schedule'!$G$2:$G$500=$B$28),--('Week 6 Schedule'!$I$2:$I$500=$A35),--('Week 6 Schedule'!$J$2:$J$500&gt;'Week 6 Schedule'!$H$2:$H$500)))</f>
        <v/>
      </c>
      <c r="C35" s="9">
        <f>(SUMPRODUCT(--('Week 1 Schedule'!$B$2:$B$500=$A35),--('Week 1 Schedule'!$D$2:$D$500=$C$28),--('Week 1 Schedule'!$C$2:$C$500&gt;'Week 1 Schedule'!$E$2:$E$500))+SUMPRODUCT(--('Week 1 Schedule'!$B$2:$B$500=$C$28),--('Week 1 Schedule'!$D$2:$D$500=$A35),--('Week 1 Schedule'!$E$2:$E$500&gt;'Week 1 Schedule'!$C$2:$C$500)))+(SUMPRODUCT(--('Week 1 Schedule'!$G$2:$G$500=$A35),--('Week 1 Schedule'!$I$2:$I$500=$C$28),--('Week 1 Schedule'!$H$2:$H$500&gt;'Week 1 Schedule'!$J$2:$J$500))+SUMPRODUCT(--('Week 1 Schedule'!$G$2:$G$500=$C$28),--('Week 1 Schedule'!$I$2:$I$500=$A35),--('Week 1 Schedule'!$J$2:$J$500&gt;'Week 1 Schedule'!$H$2:$H$500)))+(SUMPRODUCT(--('Week 2 Schedule'!$B$2:$B$500=$A35),--('Week 2 Schedule'!$D$2:$D$500=$C$28),--('Week 2 Schedule'!$C$2:$C$500&gt;'Week 2 Schedule'!$E$2:$E$500))+SUMPRODUCT(--('Week 2 Schedule'!$B$2:$B$500=$C$28),--('Week 2 Schedule'!$D$2:$D$500=$A35),--('Week 2 Schedule'!$E$2:$E$500&gt;'Week 2 Schedule'!$C$2:$C$500)))+(SUMPRODUCT(--('Week 2 Schedule'!$G$2:$G$500=$A35),--('Week 2 Schedule'!$I$2:$I$500=$C$28),--('Week 2 Schedule'!$H$2:$H$500&gt;'Week 2 Schedule'!$J$2:$J$500))+SUMPRODUCT(--('Week 2 Schedule'!$G$2:$G$500=$C$28),--('Week 2 Schedule'!$I$2:$I$500=$A35),--('Week 2 Schedule'!$J$2:$J$500&gt;'Week 2 Schedule'!$H$2:$H$500)))+(SUMPRODUCT(--('Week 3 Schedule'!$B$2:$B$500=$A35),--('Week 3 Schedule'!$D$2:$D$500=$C$28),--('Week 3 Schedule'!$C$2:$C$500&gt;'Week 3 Schedule'!$E$2:$E$500))+SUMPRODUCT(--('Week 3 Schedule'!$B$2:$B$500=$C$28),--('Week 3 Schedule'!$D$2:$D$500=$A35),--('Week 3 Schedule'!$E$2:$E$500&gt;'Week 3 Schedule'!$C$2:$C$500)))+(SUMPRODUCT(--('Week 3 Schedule'!$G$2:$G$500=$A35),--('Week 3 Schedule'!$I$2:$I$500=$C$28),--('Week 3 Schedule'!$H$2:$H$500&gt;'Week 3 Schedule'!$J$2:$J$500))+SUMPRODUCT(--('Week 3 Schedule'!$G$2:$G$500=$C$28),--('Week 3 Schedule'!$I$2:$I$500=$A35),--('Week 3 Schedule'!$J$2:$J$500&gt;'Week 3 Schedule'!$H$2:$H$500)))+(SUMPRODUCT(--('Week 4 Schedule'!$B$2:$B$500=$A35),--('Week 4 Schedule'!$D$2:$D$500=$C$28),--('Week 4 Schedule'!$C$2:$C$500&gt;'Week 4 Schedule'!$E$2:$E$500))+SUMPRODUCT(--('Week 4 Schedule'!$B$2:$B$500=$C$28),--('Week 4 Schedule'!$D$2:$D$500=$A35),--('Week 4 Schedule'!$E$2:$E$500&gt;'Week 4 Schedule'!$C$2:$C$500)))+(SUMPRODUCT(--('Week 4 Schedule'!$G$2:$G$500=$A35),--('Week 4 Schedule'!$I$2:$I$500=$C$28),--('Week 4 Schedule'!$H$2:$H$500&gt;'Week 4 Schedule'!$J$2:$J$500))+SUMPRODUCT(--('Week 4 Schedule'!$G$2:$G$500=$C$28),--('Week 4 Schedule'!$I$2:$I$500=$A35),--('Week 4 Schedule'!$J$2:$J$500&gt;'Week 4 Schedule'!$H$2:$H$500)))+(SUMPRODUCT(--('Week 5 Schedule'!$B$2:$B$500=$A35),--('Week 5 Schedule'!$D$2:$D$500=$C$28),--('Week 5 Schedule'!$C$2:$C$500&gt;'Week 5 Schedule'!$E$2:$E$500))+SUMPRODUCT(--('Week 5 Schedule'!$B$2:$B$500=$C$28),--('Week 5 Schedule'!$D$2:$D$500=$A35),--('Week 5 Schedule'!$E$2:$E$500&gt;'Week 5 Schedule'!$C$2:$C$500)))+(SUMPRODUCT(--('Week 5 Schedule'!$G$2:$G$500=$A35),--('Week 5 Schedule'!$I$2:$I$500=$C$28),--('Week 5 Schedule'!$H$2:$H$500&gt;'Week 5 Schedule'!$J$2:$J$500))+SUMPRODUCT(--('Week 5 Schedule'!$G$2:$G$500=$C$28),--('Week 5 Schedule'!$I$2:$I$500=$A35),--('Week 5 Schedule'!$J$2:$J$500&gt;'Week 5 Schedule'!$H$2:$H$500)))+(SUMPRODUCT(--('Week 6 Schedule'!$B$2:$B$500=$A35),--('Week 6 Schedule'!$D$2:$D$500=$C$28),--('Week 6 Schedule'!$C$2:$C$500&gt;'Week 6 Schedule'!$E$2:$E$500))+SUMPRODUCT(--('Week 6 Schedule'!$B$2:$B$500=$C$28),--('Week 6 Schedule'!$D$2:$D$500=$A35),--('Week 6 Schedule'!$E$2:$E$500&gt;'Week 6 Schedule'!$C$2:$C$500)))+(SUMPRODUCT(--('Week 6 Schedule'!$G$2:$G$500=$A35),--('Week 6 Schedule'!$I$2:$I$500=$C$28),--('Week 6 Schedule'!$H$2:$H$500&gt;'Week 6 Schedule'!$J$2:$J$500))+SUMPRODUCT(--('Week 6 Schedule'!$G$2:$G$500=$C$28),--('Week 6 Schedule'!$I$2:$I$500=$A35),--('Week 6 Schedule'!$J$2:$J$500&gt;'Week 6 Schedule'!$H$2:$H$500)))</f>
        <v/>
      </c>
      <c r="D35" s="9">
        <f>(SUMPRODUCT(--('Week 1 Schedule'!$B$2:$B$500=$A35),--('Week 1 Schedule'!$D$2:$D$500=$D$28),--('Week 1 Schedule'!$C$2:$C$500&gt;'Week 1 Schedule'!$E$2:$E$500))+SUMPRODUCT(--('Week 1 Schedule'!$B$2:$B$500=$D$28),--('Week 1 Schedule'!$D$2:$D$500=$A35),--('Week 1 Schedule'!$E$2:$E$500&gt;'Week 1 Schedule'!$C$2:$C$500)))+(SUMPRODUCT(--('Week 1 Schedule'!$G$2:$G$500=$A35),--('Week 1 Schedule'!$I$2:$I$500=$D$28),--('Week 1 Schedule'!$H$2:$H$500&gt;'Week 1 Schedule'!$J$2:$J$500))+SUMPRODUCT(--('Week 1 Schedule'!$G$2:$G$500=$D$28),--('Week 1 Schedule'!$I$2:$I$500=$A35),--('Week 1 Schedule'!$J$2:$J$500&gt;'Week 1 Schedule'!$H$2:$H$500)))+(SUMPRODUCT(--('Week 2 Schedule'!$B$2:$B$500=$A35),--('Week 2 Schedule'!$D$2:$D$500=$D$28),--('Week 2 Schedule'!$C$2:$C$500&gt;'Week 2 Schedule'!$E$2:$E$500))+SUMPRODUCT(--('Week 2 Schedule'!$B$2:$B$500=$D$28),--('Week 2 Schedule'!$D$2:$D$500=$A35),--('Week 2 Schedule'!$E$2:$E$500&gt;'Week 2 Schedule'!$C$2:$C$500)))+(SUMPRODUCT(--('Week 2 Schedule'!$G$2:$G$500=$A35),--('Week 2 Schedule'!$I$2:$I$500=$D$28),--('Week 2 Schedule'!$H$2:$H$500&gt;'Week 2 Schedule'!$J$2:$J$500))+SUMPRODUCT(--('Week 2 Schedule'!$G$2:$G$500=$D$28),--('Week 2 Schedule'!$I$2:$I$500=$A35),--('Week 2 Schedule'!$J$2:$J$500&gt;'Week 2 Schedule'!$H$2:$H$500)))+(SUMPRODUCT(--('Week 3 Schedule'!$B$2:$B$500=$A35),--('Week 3 Schedule'!$D$2:$D$500=$D$28),--('Week 3 Schedule'!$C$2:$C$500&gt;'Week 3 Schedule'!$E$2:$E$500))+SUMPRODUCT(--('Week 3 Schedule'!$B$2:$B$500=$D$28),--('Week 3 Schedule'!$D$2:$D$500=$A35),--('Week 3 Schedule'!$E$2:$E$500&gt;'Week 3 Schedule'!$C$2:$C$500)))+(SUMPRODUCT(--('Week 3 Schedule'!$G$2:$G$500=$A35),--('Week 3 Schedule'!$I$2:$I$500=$D$28),--('Week 3 Schedule'!$H$2:$H$500&gt;'Week 3 Schedule'!$J$2:$J$500))+SUMPRODUCT(--('Week 3 Schedule'!$G$2:$G$500=$D$28),--('Week 3 Schedule'!$I$2:$I$500=$A35),--('Week 3 Schedule'!$J$2:$J$500&gt;'Week 3 Schedule'!$H$2:$H$500)))+(SUMPRODUCT(--('Week 4 Schedule'!$B$2:$B$500=$A35),--('Week 4 Schedule'!$D$2:$D$500=$D$28),--('Week 4 Schedule'!$C$2:$C$500&gt;'Week 4 Schedule'!$E$2:$E$500))+SUMPRODUCT(--('Week 4 Schedule'!$B$2:$B$500=$D$28),--('Week 4 Schedule'!$D$2:$D$500=$A35),--('Week 4 Schedule'!$E$2:$E$500&gt;'Week 4 Schedule'!$C$2:$C$500)))+(SUMPRODUCT(--('Week 4 Schedule'!$G$2:$G$500=$A35),--('Week 4 Schedule'!$I$2:$I$500=$D$28),--('Week 4 Schedule'!$H$2:$H$500&gt;'Week 4 Schedule'!$J$2:$J$500))+SUMPRODUCT(--('Week 4 Schedule'!$G$2:$G$500=$D$28),--('Week 4 Schedule'!$I$2:$I$500=$A35),--('Week 4 Schedule'!$J$2:$J$500&gt;'Week 4 Schedule'!$H$2:$H$500)))+(SUMPRODUCT(--('Week 5 Schedule'!$B$2:$B$500=$A35),--('Week 5 Schedule'!$D$2:$D$500=$D$28),--('Week 5 Schedule'!$C$2:$C$500&gt;'Week 5 Schedule'!$E$2:$E$500))+SUMPRODUCT(--('Week 5 Schedule'!$B$2:$B$500=$D$28),--('Week 5 Schedule'!$D$2:$D$500=$A35),--('Week 5 Schedule'!$E$2:$E$500&gt;'Week 5 Schedule'!$C$2:$C$500)))+(SUMPRODUCT(--('Week 5 Schedule'!$G$2:$G$500=$A35),--('Week 5 Schedule'!$I$2:$I$500=$D$28),--('Week 5 Schedule'!$H$2:$H$500&gt;'Week 5 Schedule'!$J$2:$J$500))+SUMPRODUCT(--('Week 5 Schedule'!$G$2:$G$500=$D$28),--('Week 5 Schedule'!$I$2:$I$500=$A35),--('Week 5 Schedule'!$J$2:$J$500&gt;'Week 5 Schedule'!$H$2:$H$500)))+(SUMPRODUCT(--('Week 6 Schedule'!$B$2:$B$500=$A35),--('Week 6 Schedule'!$D$2:$D$500=$D$28),--('Week 6 Schedule'!$C$2:$C$500&gt;'Week 6 Schedule'!$E$2:$E$500))+SUMPRODUCT(--('Week 6 Schedule'!$B$2:$B$500=$D$28),--('Week 6 Schedule'!$D$2:$D$500=$A35),--('Week 6 Schedule'!$E$2:$E$500&gt;'Week 6 Schedule'!$C$2:$C$500)))+(SUMPRODUCT(--('Week 6 Schedule'!$G$2:$G$500=$A35),--('Week 6 Schedule'!$I$2:$I$500=$D$28),--('Week 6 Schedule'!$H$2:$H$500&gt;'Week 6 Schedule'!$J$2:$J$500))+SUMPRODUCT(--('Week 6 Schedule'!$G$2:$G$500=$D$28),--('Week 6 Schedule'!$I$2:$I$500=$A35),--('Week 6 Schedule'!$J$2:$J$500&gt;'Week 6 Schedule'!$H$2:$H$500)))</f>
        <v/>
      </c>
      <c r="E35" s="9">
        <f>(SUMPRODUCT(--('Week 1 Schedule'!$B$2:$B$500=$A35),--('Week 1 Schedule'!$D$2:$D$500=$E$28),--('Week 1 Schedule'!$C$2:$C$500&gt;'Week 1 Schedule'!$E$2:$E$500))+SUMPRODUCT(--('Week 1 Schedule'!$B$2:$B$500=$E$28),--('Week 1 Schedule'!$D$2:$D$500=$A35),--('Week 1 Schedule'!$E$2:$E$500&gt;'Week 1 Schedule'!$C$2:$C$500)))+(SUMPRODUCT(--('Week 1 Schedule'!$G$2:$G$500=$A35),--('Week 1 Schedule'!$I$2:$I$500=$E$28),--('Week 1 Schedule'!$H$2:$H$500&gt;'Week 1 Schedule'!$J$2:$J$500))+SUMPRODUCT(--('Week 1 Schedule'!$G$2:$G$500=$E$28),--('Week 1 Schedule'!$I$2:$I$500=$A35),--('Week 1 Schedule'!$J$2:$J$500&gt;'Week 1 Schedule'!$H$2:$H$500)))+(SUMPRODUCT(--('Week 2 Schedule'!$B$2:$B$500=$A35),--('Week 2 Schedule'!$D$2:$D$500=$E$28),--('Week 2 Schedule'!$C$2:$C$500&gt;'Week 2 Schedule'!$E$2:$E$500))+SUMPRODUCT(--('Week 2 Schedule'!$B$2:$B$500=$E$28),--('Week 2 Schedule'!$D$2:$D$500=$A35),--('Week 2 Schedule'!$E$2:$E$500&gt;'Week 2 Schedule'!$C$2:$C$500)))+(SUMPRODUCT(--('Week 2 Schedule'!$G$2:$G$500=$A35),--('Week 2 Schedule'!$I$2:$I$500=$E$28),--('Week 2 Schedule'!$H$2:$H$500&gt;'Week 2 Schedule'!$J$2:$J$500))+SUMPRODUCT(--('Week 2 Schedule'!$G$2:$G$500=$E$28),--('Week 2 Schedule'!$I$2:$I$500=$A35),--('Week 2 Schedule'!$J$2:$J$500&gt;'Week 2 Schedule'!$H$2:$H$500)))+(SUMPRODUCT(--('Week 3 Schedule'!$B$2:$B$500=$A35),--('Week 3 Schedule'!$D$2:$D$500=$E$28),--('Week 3 Schedule'!$C$2:$C$500&gt;'Week 3 Schedule'!$E$2:$E$500))+SUMPRODUCT(--('Week 3 Schedule'!$B$2:$B$500=$E$28),--('Week 3 Schedule'!$D$2:$D$500=$A35),--('Week 3 Schedule'!$E$2:$E$500&gt;'Week 3 Schedule'!$C$2:$C$500)))+(SUMPRODUCT(--('Week 3 Schedule'!$G$2:$G$500=$A35),--('Week 3 Schedule'!$I$2:$I$500=$E$28),--('Week 3 Schedule'!$H$2:$H$500&gt;'Week 3 Schedule'!$J$2:$J$500))+SUMPRODUCT(--('Week 3 Schedule'!$G$2:$G$500=$E$28),--('Week 3 Schedule'!$I$2:$I$500=$A35),--('Week 3 Schedule'!$J$2:$J$500&gt;'Week 3 Schedule'!$H$2:$H$500)))+(SUMPRODUCT(--('Week 4 Schedule'!$B$2:$B$500=$A35),--('Week 4 Schedule'!$D$2:$D$500=$E$28),--('Week 4 Schedule'!$C$2:$C$500&gt;'Week 4 Schedule'!$E$2:$E$500))+SUMPRODUCT(--('Week 4 Schedule'!$B$2:$B$500=$E$28),--('Week 4 Schedule'!$D$2:$D$500=$A35),--('Week 4 Schedule'!$E$2:$E$500&gt;'Week 4 Schedule'!$C$2:$C$500)))+(SUMPRODUCT(--('Week 4 Schedule'!$G$2:$G$500=$A35),--('Week 4 Schedule'!$I$2:$I$500=$E$28),--('Week 4 Schedule'!$H$2:$H$500&gt;'Week 4 Schedule'!$J$2:$J$500))+SUMPRODUCT(--('Week 4 Schedule'!$G$2:$G$500=$E$28),--('Week 4 Schedule'!$I$2:$I$500=$A35),--('Week 4 Schedule'!$J$2:$J$500&gt;'Week 4 Schedule'!$H$2:$H$500)))+(SUMPRODUCT(--('Week 5 Schedule'!$B$2:$B$500=$A35),--('Week 5 Schedule'!$D$2:$D$500=$E$28),--('Week 5 Schedule'!$C$2:$C$500&gt;'Week 5 Schedule'!$E$2:$E$500))+SUMPRODUCT(--('Week 5 Schedule'!$B$2:$B$500=$E$28),--('Week 5 Schedule'!$D$2:$D$500=$A35),--('Week 5 Schedule'!$E$2:$E$500&gt;'Week 5 Schedule'!$C$2:$C$500)))+(SUMPRODUCT(--('Week 5 Schedule'!$G$2:$G$500=$A35),--('Week 5 Schedule'!$I$2:$I$500=$E$28),--('Week 5 Schedule'!$H$2:$H$500&gt;'Week 5 Schedule'!$J$2:$J$500))+SUMPRODUCT(--('Week 5 Schedule'!$G$2:$G$500=$E$28),--('Week 5 Schedule'!$I$2:$I$500=$A35),--('Week 5 Schedule'!$J$2:$J$500&gt;'Week 5 Schedule'!$H$2:$H$500)))+(SUMPRODUCT(--('Week 6 Schedule'!$B$2:$B$500=$A35),--('Week 6 Schedule'!$D$2:$D$500=$E$28),--('Week 6 Schedule'!$C$2:$C$500&gt;'Week 6 Schedule'!$E$2:$E$500))+SUMPRODUCT(--('Week 6 Schedule'!$B$2:$B$500=$E$28),--('Week 6 Schedule'!$D$2:$D$500=$A35),--('Week 6 Schedule'!$E$2:$E$500&gt;'Week 6 Schedule'!$C$2:$C$500)))+(SUMPRODUCT(--('Week 6 Schedule'!$G$2:$G$500=$A35),--('Week 6 Schedule'!$I$2:$I$500=$E$28),--('Week 6 Schedule'!$H$2:$H$500&gt;'Week 6 Schedule'!$J$2:$J$500))+SUMPRODUCT(--('Week 6 Schedule'!$G$2:$G$500=$E$28),--('Week 6 Schedule'!$I$2:$I$500=$A35),--('Week 6 Schedule'!$J$2:$J$500&gt;'Week 6 Schedule'!$H$2:$H$500)))</f>
        <v/>
      </c>
      <c r="F35" s="9">
        <f>(SUMPRODUCT(--('Week 1 Schedule'!$B$2:$B$500=$A35),--('Week 1 Schedule'!$D$2:$D$500=$F$28),--('Week 1 Schedule'!$C$2:$C$500&gt;'Week 1 Schedule'!$E$2:$E$500))+SUMPRODUCT(--('Week 1 Schedule'!$B$2:$B$500=$F$28),--('Week 1 Schedule'!$D$2:$D$500=$A35),--('Week 1 Schedule'!$E$2:$E$500&gt;'Week 1 Schedule'!$C$2:$C$500)))+(SUMPRODUCT(--('Week 1 Schedule'!$G$2:$G$500=$A35),--('Week 1 Schedule'!$I$2:$I$500=$F$28),--('Week 1 Schedule'!$H$2:$H$500&gt;'Week 1 Schedule'!$J$2:$J$500))+SUMPRODUCT(--('Week 1 Schedule'!$G$2:$G$500=$F$28),--('Week 1 Schedule'!$I$2:$I$500=$A35),--('Week 1 Schedule'!$J$2:$J$500&gt;'Week 1 Schedule'!$H$2:$H$500)))+(SUMPRODUCT(--('Week 2 Schedule'!$B$2:$B$500=$A35),--('Week 2 Schedule'!$D$2:$D$500=$F$28),--('Week 2 Schedule'!$C$2:$C$500&gt;'Week 2 Schedule'!$E$2:$E$500))+SUMPRODUCT(--('Week 2 Schedule'!$B$2:$B$500=$F$28),--('Week 2 Schedule'!$D$2:$D$500=$A35),--('Week 2 Schedule'!$E$2:$E$500&gt;'Week 2 Schedule'!$C$2:$C$500)))+(SUMPRODUCT(--('Week 2 Schedule'!$G$2:$G$500=$A35),--('Week 2 Schedule'!$I$2:$I$500=$F$28),--('Week 2 Schedule'!$H$2:$H$500&gt;'Week 2 Schedule'!$J$2:$J$500))+SUMPRODUCT(--('Week 2 Schedule'!$G$2:$G$500=$F$28),--('Week 2 Schedule'!$I$2:$I$500=$A35),--('Week 2 Schedule'!$J$2:$J$500&gt;'Week 2 Schedule'!$H$2:$H$500)))+(SUMPRODUCT(--('Week 3 Schedule'!$B$2:$B$500=$A35),--('Week 3 Schedule'!$D$2:$D$500=$F$28),--('Week 3 Schedule'!$C$2:$C$500&gt;'Week 3 Schedule'!$E$2:$E$500))+SUMPRODUCT(--('Week 3 Schedule'!$B$2:$B$500=$F$28),--('Week 3 Schedule'!$D$2:$D$500=$A35),--('Week 3 Schedule'!$E$2:$E$500&gt;'Week 3 Schedule'!$C$2:$C$500)))+(SUMPRODUCT(--('Week 3 Schedule'!$G$2:$G$500=$A35),--('Week 3 Schedule'!$I$2:$I$500=$F$28),--('Week 3 Schedule'!$H$2:$H$500&gt;'Week 3 Schedule'!$J$2:$J$500))+SUMPRODUCT(--('Week 3 Schedule'!$G$2:$G$500=$F$28),--('Week 3 Schedule'!$I$2:$I$500=$A35),--('Week 3 Schedule'!$J$2:$J$500&gt;'Week 3 Schedule'!$H$2:$H$500)))+(SUMPRODUCT(--('Week 4 Schedule'!$B$2:$B$500=$A35),--('Week 4 Schedule'!$D$2:$D$500=$F$28),--('Week 4 Schedule'!$C$2:$C$500&gt;'Week 4 Schedule'!$E$2:$E$500))+SUMPRODUCT(--('Week 4 Schedule'!$B$2:$B$500=$F$28),--('Week 4 Schedule'!$D$2:$D$500=$A35),--('Week 4 Schedule'!$E$2:$E$500&gt;'Week 4 Schedule'!$C$2:$C$500)))+(SUMPRODUCT(--('Week 4 Schedule'!$G$2:$G$500=$A35),--('Week 4 Schedule'!$I$2:$I$500=$F$28),--('Week 4 Schedule'!$H$2:$H$500&gt;'Week 4 Schedule'!$J$2:$J$500))+SUMPRODUCT(--('Week 4 Schedule'!$G$2:$G$500=$F$28),--('Week 4 Schedule'!$I$2:$I$500=$A35),--('Week 4 Schedule'!$J$2:$J$500&gt;'Week 4 Schedule'!$H$2:$H$500)))+(SUMPRODUCT(--('Week 5 Schedule'!$B$2:$B$500=$A35),--('Week 5 Schedule'!$D$2:$D$500=$F$28),--('Week 5 Schedule'!$C$2:$C$500&gt;'Week 5 Schedule'!$E$2:$E$500))+SUMPRODUCT(--('Week 5 Schedule'!$B$2:$B$500=$F$28),--('Week 5 Schedule'!$D$2:$D$500=$A35),--('Week 5 Schedule'!$E$2:$E$500&gt;'Week 5 Schedule'!$C$2:$C$500)))+(SUMPRODUCT(--('Week 5 Schedule'!$G$2:$G$500=$A35),--('Week 5 Schedule'!$I$2:$I$500=$F$28),--('Week 5 Schedule'!$H$2:$H$500&gt;'Week 5 Schedule'!$J$2:$J$500))+SUMPRODUCT(--('Week 5 Schedule'!$G$2:$G$500=$F$28),--('Week 5 Schedule'!$I$2:$I$500=$A35),--('Week 5 Schedule'!$J$2:$J$500&gt;'Week 5 Schedule'!$H$2:$H$500)))+(SUMPRODUCT(--('Week 6 Schedule'!$B$2:$B$500=$A35),--('Week 6 Schedule'!$D$2:$D$500=$F$28),--('Week 6 Schedule'!$C$2:$C$500&gt;'Week 6 Schedule'!$E$2:$E$500))+SUMPRODUCT(--('Week 6 Schedule'!$B$2:$B$500=$F$28),--('Week 6 Schedule'!$D$2:$D$500=$A35),--('Week 6 Schedule'!$E$2:$E$500&gt;'Week 6 Schedule'!$C$2:$C$500)))+(SUMPRODUCT(--('Week 6 Schedule'!$G$2:$G$500=$A35),--('Week 6 Schedule'!$I$2:$I$500=$F$28),--('Week 6 Schedule'!$H$2:$H$500&gt;'Week 6 Schedule'!$J$2:$J$500))+SUMPRODUCT(--('Week 6 Schedule'!$G$2:$G$500=$F$28),--('Week 6 Schedule'!$I$2:$I$500=$A35),--('Week 6 Schedule'!$J$2:$J$500&gt;'Week 6 Schedule'!$H$2:$H$500)))</f>
        <v/>
      </c>
      <c r="G35" s="9">
        <f>(SUMPRODUCT(--('Week 1 Schedule'!$B$2:$B$500=$A35),--('Week 1 Schedule'!$D$2:$D$500=$G$28),--('Week 1 Schedule'!$C$2:$C$500&gt;'Week 1 Schedule'!$E$2:$E$500))+SUMPRODUCT(--('Week 1 Schedule'!$B$2:$B$500=$G$28),--('Week 1 Schedule'!$D$2:$D$500=$A35),--('Week 1 Schedule'!$E$2:$E$500&gt;'Week 1 Schedule'!$C$2:$C$500)))+(SUMPRODUCT(--('Week 1 Schedule'!$G$2:$G$500=$A35),--('Week 1 Schedule'!$I$2:$I$500=$G$28),--('Week 1 Schedule'!$H$2:$H$500&gt;'Week 1 Schedule'!$J$2:$J$500))+SUMPRODUCT(--('Week 1 Schedule'!$G$2:$G$500=$G$28),--('Week 1 Schedule'!$I$2:$I$500=$A35),--('Week 1 Schedule'!$J$2:$J$500&gt;'Week 1 Schedule'!$H$2:$H$500)))+(SUMPRODUCT(--('Week 2 Schedule'!$B$2:$B$500=$A35),--('Week 2 Schedule'!$D$2:$D$500=$G$28),--('Week 2 Schedule'!$C$2:$C$500&gt;'Week 2 Schedule'!$E$2:$E$500))+SUMPRODUCT(--('Week 2 Schedule'!$B$2:$B$500=$G$28),--('Week 2 Schedule'!$D$2:$D$500=$A35),--('Week 2 Schedule'!$E$2:$E$500&gt;'Week 2 Schedule'!$C$2:$C$500)))+(SUMPRODUCT(--('Week 2 Schedule'!$G$2:$G$500=$A35),--('Week 2 Schedule'!$I$2:$I$500=$G$28),--('Week 2 Schedule'!$H$2:$H$500&gt;'Week 2 Schedule'!$J$2:$J$500))+SUMPRODUCT(--('Week 2 Schedule'!$G$2:$G$500=$G$28),--('Week 2 Schedule'!$I$2:$I$500=$A35),--('Week 2 Schedule'!$J$2:$J$500&gt;'Week 2 Schedule'!$H$2:$H$500)))+(SUMPRODUCT(--('Week 3 Schedule'!$B$2:$B$500=$A35),--('Week 3 Schedule'!$D$2:$D$500=$G$28),--('Week 3 Schedule'!$C$2:$C$500&gt;'Week 3 Schedule'!$E$2:$E$500))+SUMPRODUCT(--('Week 3 Schedule'!$B$2:$B$500=$G$28),--('Week 3 Schedule'!$D$2:$D$500=$A35),--('Week 3 Schedule'!$E$2:$E$500&gt;'Week 3 Schedule'!$C$2:$C$500)))+(SUMPRODUCT(--('Week 3 Schedule'!$G$2:$G$500=$A35),--('Week 3 Schedule'!$I$2:$I$500=$G$28),--('Week 3 Schedule'!$H$2:$H$500&gt;'Week 3 Schedule'!$J$2:$J$500))+SUMPRODUCT(--('Week 3 Schedule'!$G$2:$G$500=$G$28),--('Week 3 Schedule'!$I$2:$I$500=$A35),--('Week 3 Schedule'!$J$2:$J$500&gt;'Week 3 Schedule'!$H$2:$H$500)))+(SUMPRODUCT(--('Week 4 Schedule'!$B$2:$B$500=$A35),--('Week 4 Schedule'!$D$2:$D$500=$G$28),--('Week 4 Schedule'!$C$2:$C$500&gt;'Week 4 Schedule'!$E$2:$E$500))+SUMPRODUCT(--('Week 4 Schedule'!$B$2:$B$500=$G$28),--('Week 4 Schedule'!$D$2:$D$500=$A35),--('Week 4 Schedule'!$E$2:$E$500&gt;'Week 4 Schedule'!$C$2:$C$500)))+(SUMPRODUCT(--('Week 4 Schedule'!$G$2:$G$500=$A35),--('Week 4 Schedule'!$I$2:$I$500=$G$28),--('Week 4 Schedule'!$H$2:$H$500&gt;'Week 4 Schedule'!$J$2:$J$500))+SUMPRODUCT(--('Week 4 Schedule'!$G$2:$G$500=$G$28),--('Week 4 Schedule'!$I$2:$I$500=$A35),--('Week 4 Schedule'!$J$2:$J$500&gt;'Week 4 Schedule'!$H$2:$H$500)))+(SUMPRODUCT(--('Week 5 Schedule'!$B$2:$B$500=$A35),--('Week 5 Schedule'!$D$2:$D$500=$G$28),--('Week 5 Schedule'!$C$2:$C$500&gt;'Week 5 Schedule'!$E$2:$E$500))+SUMPRODUCT(--('Week 5 Schedule'!$B$2:$B$500=$G$28),--('Week 5 Schedule'!$D$2:$D$500=$A35),--('Week 5 Schedule'!$E$2:$E$500&gt;'Week 5 Schedule'!$C$2:$C$500)))+(SUMPRODUCT(--('Week 5 Schedule'!$G$2:$G$500=$A35),--('Week 5 Schedule'!$I$2:$I$500=$G$28),--('Week 5 Schedule'!$H$2:$H$500&gt;'Week 5 Schedule'!$J$2:$J$500))+SUMPRODUCT(--('Week 5 Schedule'!$G$2:$G$500=$G$28),--('Week 5 Schedule'!$I$2:$I$500=$A35),--('Week 5 Schedule'!$J$2:$J$500&gt;'Week 5 Schedule'!$H$2:$H$500)))+(SUMPRODUCT(--('Week 6 Schedule'!$B$2:$B$500=$A35),--('Week 6 Schedule'!$D$2:$D$500=$G$28),--('Week 6 Schedule'!$C$2:$C$500&gt;'Week 6 Schedule'!$E$2:$E$500))+SUMPRODUCT(--('Week 6 Schedule'!$B$2:$B$500=$G$28),--('Week 6 Schedule'!$D$2:$D$500=$A35),--('Week 6 Schedule'!$E$2:$E$500&gt;'Week 6 Schedule'!$C$2:$C$500)))+(SUMPRODUCT(--('Week 6 Schedule'!$G$2:$G$500=$A35),--('Week 6 Schedule'!$I$2:$I$500=$G$28),--('Week 6 Schedule'!$H$2:$H$500&gt;'Week 6 Schedule'!$J$2:$J$500))+SUMPRODUCT(--('Week 6 Schedule'!$G$2:$G$500=$G$28),--('Week 6 Schedule'!$I$2:$I$500=$A35),--('Week 6 Schedule'!$J$2:$J$500&gt;'Week 6 Schedule'!$H$2:$H$500)))</f>
        <v/>
      </c>
      <c r="H35" s="9" t="inlineStr">
        <is>
          <t>—</t>
        </is>
      </c>
      <c r="I35" s="9">
        <f>(SUMPRODUCT(--('Week 1 Schedule'!$B$2:$B$500=$A35),--('Week 1 Schedule'!$D$2:$D$500=$I$28),--('Week 1 Schedule'!$C$2:$C$500&gt;'Week 1 Schedule'!$E$2:$E$500))+SUMPRODUCT(--('Week 1 Schedule'!$B$2:$B$500=$I$28),--('Week 1 Schedule'!$D$2:$D$500=$A35),--('Week 1 Schedule'!$E$2:$E$500&gt;'Week 1 Schedule'!$C$2:$C$500)))+(SUMPRODUCT(--('Week 1 Schedule'!$G$2:$G$500=$A35),--('Week 1 Schedule'!$I$2:$I$500=$I$28),--('Week 1 Schedule'!$H$2:$H$500&gt;'Week 1 Schedule'!$J$2:$J$500))+SUMPRODUCT(--('Week 1 Schedule'!$G$2:$G$500=$I$28),--('Week 1 Schedule'!$I$2:$I$500=$A35),--('Week 1 Schedule'!$J$2:$J$500&gt;'Week 1 Schedule'!$H$2:$H$500)))+(SUMPRODUCT(--('Week 2 Schedule'!$B$2:$B$500=$A35),--('Week 2 Schedule'!$D$2:$D$500=$I$28),--('Week 2 Schedule'!$C$2:$C$500&gt;'Week 2 Schedule'!$E$2:$E$500))+SUMPRODUCT(--('Week 2 Schedule'!$B$2:$B$500=$I$28),--('Week 2 Schedule'!$D$2:$D$500=$A35),--('Week 2 Schedule'!$E$2:$E$500&gt;'Week 2 Schedule'!$C$2:$C$500)))+(SUMPRODUCT(--('Week 2 Schedule'!$G$2:$G$500=$A35),--('Week 2 Schedule'!$I$2:$I$500=$I$28),--('Week 2 Schedule'!$H$2:$H$500&gt;'Week 2 Schedule'!$J$2:$J$500))+SUMPRODUCT(--('Week 2 Schedule'!$G$2:$G$500=$I$28),--('Week 2 Schedule'!$I$2:$I$500=$A35),--('Week 2 Schedule'!$J$2:$J$500&gt;'Week 2 Schedule'!$H$2:$H$500)))+(SUMPRODUCT(--('Week 3 Schedule'!$B$2:$B$500=$A35),--('Week 3 Schedule'!$D$2:$D$500=$I$28),--('Week 3 Schedule'!$C$2:$C$500&gt;'Week 3 Schedule'!$E$2:$E$500))+SUMPRODUCT(--('Week 3 Schedule'!$B$2:$B$500=$I$28),--('Week 3 Schedule'!$D$2:$D$500=$A35),--('Week 3 Schedule'!$E$2:$E$500&gt;'Week 3 Schedule'!$C$2:$C$500)))+(SUMPRODUCT(--('Week 3 Schedule'!$G$2:$G$500=$A35),--('Week 3 Schedule'!$I$2:$I$500=$I$28),--('Week 3 Schedule'!$H$2:$H$500&gt;'Week 3 Schedule'!$J$2:$J$500))+SUMPRODUCT(--('Week 3 Schedule'!$G$2:$G$500=$I$28),--('Week 3 Schedule'!$I$2:$I$500=$A35),--('Week 3 Schedule'!$J$2:$J$500&gt;'Week 3 Schedule'!$H$2:$H$500)))+(SUMPRODUCT(--('Week 4 Schedule'!$B$2:$B$500=$A35),--('Week 4 Schedule'!$D$2:$D$500=$I$28),--('Week 4 Schedule'!$C$2:$C$500&gt;'Week 4 Schedule'!$E$2:$E$500))+SUMPRODUCT(--('Week 4 Schedule'!$B$2:$B$500=$I$28),--('Week 4 Schedule'!$D$2:$D$500=$A35),--('Week 4 Schedule'!$E$2:$E$500&gt;'Week 4 Schedule'!$C$2:$C$500)))+(SUMPRODUCT(--('Week 4 Schedule'!$G$2:$G$500=$A35),--('Week 4 Schedule'!$I$2:$I$500=$I$28),--('Week 4 Schedule'!$H$2:$H$500&gt;'Week 4 Schedule'!$J$2:$J$500))+SUMPRODUCT(--('Week 4 Schedule'!$G$2:$G$500=$I$28),--('Week 4 Schedule'!$I$2:$I$500=$A35),--('Week 4 Schedule'!$J$2:$J$500&gt;'Week 4 Schedule'!$H$2:$H$500)))+(SUMPRODUCT(--('Week 5 Schedule'!$B$2:$B$500=$A35),--('Week 5 Schedule'!$D$2:$D$500=$I$28),--('Week 5 Schedule'!$C$2:$C$500&gt;'Week 5 Schedule'!$E$2:$E$500))+SUMPRODUCT(--('Week 5 Schedule'!$B$2:$B$500=$I$28),--('Week 5 Schedule'!$D$2:$D$500=$A35),--('Week 5 Schedule'!$E$2:$E$500&gt;'Week 5 Schedule'!$C$2:$C$500)))+(SUMPRODUCT(--('Week 5 Schedule'!$G$2:$G$500=$A35),--('Week 5 Schedule'!$I$2:$I$500=$I$28),--('Week 5 Schedule'!$H$2:$H$500&gt;'Week 5 Schedule'!$J$2:$J$500))+SUMPRODUCT(--('Week 5 Schedule'!$G$2:$G$500=$I$28),--('Week 5 Schedule'!$I$2:$I$500=$A35),--('Week 5 Schedule'!$J$2:$J$500&gt;'Week 5 Schedule'!$H$2:$H$500)))+(SUMPRODUCT(--('Week 6 Schedule'!$B$2:$B$500=$A35),--('Week 6 Schedule'!$D$2:$D$500=$I$28),--('Week 6 Schedule'!$C$2:$C$500&gt;'Week 6 Schedule'!$E$2:$E$500))+SUMPRODUCT(--('Week 6 Schedule'!$B$2:$B$500=$I$28),--('Week 6 Schedule'!$D$2:$D$500=$A35),--('Week 6 Schedule'!$E$2:$E$500&gt;'Week 6 Schedule'!$C$2:$C$500)))+(SUMPRODUCT(--('Week 6 Schedule'!$G$2:$G$500=$A35),--('Week 6 Schedule'!$I$2:$I$500=$I$28),--('Week 6 Schedule'!$H$2:$H$500&gt;'Week 6 Schedule'!$J$2:$J$500))+SUMPRODUCT(--('Week 6 Schedule'!$G$2:$G$500=$I$28),--('Week 6 Schedule'!$I$2:$I$500=$A35),--('Week 6 Schedule'!$J$2:$J$500&gt;'Week 6 Schedule'!$H$2:$H$500)))</f>
        <v/>
      </c>
      <c r="J35" s="9" t="n"/>
      <c r="K35" s="9" t="n"/>
      <c r="L35" s="9" t="n"/>
      <c r="M35" s="9" t="n"/>
    </row>
    <row r="36">
      <c r="A36" s="9" t="inlineStr">
        <is>
          <t>Team 8</t>
        </is>
      </c>
      <c r="B36" s="9">
        <f>(SUMPRODUCT(--('Week 1 Schedule'!$B$2:$B$500=$A36),--('Week 1 Schedule'!$D$2:$D$500=$B$28),--('Week 1 Schedule'!$C$2:$C$500&gt;'Week 1 Schedule'!$E$2:$E$500))+SUMPRODUCT(--('Week 1 Schedule'!$B$2:$B$500=$B$28),--('Week 1 Schedule'!$D$2:$D$500=$A36),--('Week 1 Schedule'!$E$2:$E$500&gt;'Week 1 Schedule'!$C$2:$C$500)))+(SUMPRODUCT(--('Week 1 Schedule'!$G$2:$G$500=$A36),--('Week 1 Schedule'!$I$2:$I$500=$B$28),--('Week 1 Schedule'!$H$2:$H$500&gt;'Week 1 Schedule'!$J$2:$J$500))+SUMPRODUCT(--('Week 1 Schedule'!$G$2:$G$500=$B$28),--('Week 1 Schedule'!$I$2:$I$500=$A36),--('Week 1 Schedule'!$J$2:$J$500&gt;'Week 1 Schedule'!$H$2:$H$500)))+(SUMPRODUCT(--('Week 2 Schedule'!$B$2:$B$500=$A36),--('Week 2 Schedule'!$D$2:$D$500=$B$28),--('Week 2 Schedule'!$C$2:$C$500&gt;'Week 2 Schedule'!$E$2:$E$500))+SUMPRODUCT(--('Week 2 Schedule'!$B$2:$B$500=$B$28),--('Week 2 Schedule'!$D$2:$D$500=$A36),--('Week 2 Schedule'!$E$2:$E$500&gt;'Week 2 Schedule'!$C$2:$C$500)))+(SUMPRODUCT(--('Week 2 Schedule'!$G$2:$G$500=$A36),--('Week 2 Schedule'!$I$2:$I$500=$B$28),--('Week 2 Schedule'!$H$2:$H$500&gt;'Week 2 Schedule'!$J$2:$J$500))+SUMPRODUCT(--('Week 2 Schedule'!$G$2:$G$500=$B$28),--('Week 2 Schedule'!$I$2:$I$500=$A36),--('Week 2 Schedule'!$J$2:$J$500&gt;'Week 2 Schedule'!$H$2:$H$500)))+(SUMPRODUCT(--('Week 3 Schedule'!$B$2:$B$500=$A36),--('Week 3 Schedule'!$D$2:$D$500=$B$28),--('Week 3 Schedule'!$C$2:$C$500&gt;'Week 3 Schedule'!$E$2:$E$500))+SUMPRODUCT(--('Week 3 Schedule'!$B$2:$B$500=$B$28),--('Week 3 Schedule'!$D$2:$D$500=$A36),--('Week 3 Schedule'!$E$2:$E$500&gt;'Week 3 Schedule'!$C$2:$C$500)))+(SUMPRODUCT(--('Week 3 Schedule'!$G$2:$G$500=$A36),--('Week 3 Schedule'!$I$2:$I$500=$B$28),--('Week 3 Schedule'!$H$2:$H$500&gt;'Week 3 Schedule'!$J$2:$J$500))+SUMPRODUCT(--('Week 3 Schedule'!$G$2:$G$500=$B$28),--('Week 3 Schedule'!$I$2:$I$500=$A36),--('Week 3 Schedule'!$J$2:$J$500&gt;'Week 3 Schedule'!$H$2:$H$500)))+(SUMPRODUCT(--('Week 4 Schedule'!$B$2:$B$500=$A36),--('Week 4 Schedule'!$D$2:$D$500=$B$28),--('Week 4 Schedule'!$C$2:$C$500&gt;'Week 4 Schedule'!$E$2:$E$500))+SUMPRODUCT(--('Week 4 Schedule'!$B$2:$B$500=$B$28),--('Week 4 Schedule'!$D$2:$D$500=$A36),--('Week 4 Schedule'!$E$2:$E$500&gt;'Week 4 Schedule'!$C$2:$C$500)))+(SUMPRODUCT(--('Week 4 Schedule'!$G$2:$G$500=$A36),--('Week 4 Schedule'!$I$2:$I$500=$B$28),--('Week 4 Schedule'!$H$2:$H$500&gt;'Week 4 Schedule'!$J$2:$J$500))+SUMPRODUCT(--('Week 4 Schedule'!$G$2:$G$500=$B$28),--('Week 4 Schedule'!$I$2:$I$500=$A36),--('Week 4 Schedule'!$J$2:$J$500&gt;'Week 4 Schedule'!$H$2:$H$500)))+(SUMPRODUCT(--('Week 5 Schedule'!$B$2:$B$500=$A36),--('Week 5 Schedule'!$D$2:$D$500=$B$28),--('Week 5 Schedule'!$C$2:$C$500&gt;'Week 5 Schedule'!$E$2:$E$500))+SUMPRODUCT(--('Week 5 Schedule'!$B$2:$B$500=$B$28),--('Week 5 Schedule'!$D$2:$D$500=$A36),--('Week 5 Schedule'!$E$2:$E$500&gt;'Week 5 Schedule'!$C$2:$C$500)))+(SUMPRODUCT(--('Week 5 Schedule'!$G$2:$G$500=$A36),--('Week 5 Schedule'!$I$2:$I$500=$B$28),--('Week 5 Schedule'!$H$2:$H$500&gt;'Week 5 Schedule'!$J$2:$J$500))+SUMPRODUCT(--('Week 5 Schedule'!$G$2:$G$500=$B$28),--('Week 5 Schedule'!$I$2:$I$500=$A36),--('Week 5 Schedule'!$J$2:$J$500&gt;'Week 5 Schedule'!$H$2:$H$500)))+(SUMPRODUCT(--('Week 6 Schedule'!$B$2:$B$500=$A36),--('Week 6 Schedule'!$D$2:$D$500=$B$28),--('Week 6 Schedule'!$C$2:$C$500&gt;'Week 6 Schedule'!$E$2:$E$500))+SUMPRODUCT(--('Week 6 Schedule'!$B$2:$B$500=$B$28),--('Week 6 Schedule'!$D$2:$D$500=$A36),--('Week 6 Schedule'!$E$2:$E$500&gt;'Week 6 Schedule'!$C$2:$C$500)))+(SUMPRODUCT(--('Week 6 Schedule'!$G$2:$G$500=$A36),--('Week 6 Schedule'!$I$2:$I$500=$B$28),--('Week 6 Schedule'!$H$2:$H$500&gt;'Week 6 Schedule'!$J$2:$J$500))+SUMPRODUCT(--('Week 6 Schedule'!$G$2:$G$500=$B$28),--('Week 6 Schedule'!$I$2:$I$500=$A36),--('Week 6 Schedule'!$J$2:$J$500&gt;'Week 6 Schedule'!$H$2:$H$500)))</f>
        <v/>
      </c>
      <c r="C36" s="9">
        <f>(SUMPRODUCT(--('Week 1 Schedule'!$B$2:$B$500=$A36),--('Week 1 Schedule'!$D$2:$D$500=$C$28),--('Week 1 Schedule'!$C$2:$C$500&gt;'Week 1 Schedule'!$E$2:$E$500))+SUMPRODUCT(--('Week 1 Schedule'!$B$2:$B$500=$C$28),--('Week 1 Schedule'!$D$2:$D$500=$A36),--('Week 1 Schedule'!$E$2:$E$500&gt;'Week 1 Schedule'!$C$2:$C$500)))+(SUMPRODUCT(--('Week 1 Schedule'!$G$2:$G$500=$A36),--('Week 1 Schedule'!$I$2:$I$500=$C$28),--('Week 1 Schedule'!$H$2:$H$500&gt;'Week 1 Schedule'!$J$2:$J$500))+SUMPRODUCT(--('Week 1 Schedule'!$G$2:$G$500=$C$28),--('Week 1 Schedule'!$I$2:$I$500=$A36),--('Week 1 Schedule'!$J$2:$J$500&gt;'Week 1 Schedule'!$H$2:$H$500)))+(SUMPRODUCT(--('Week 2 Schedule'!$B$2:$B$500=$A36),--('Week 2 Schedule'!$D$2:$D$500=$C$28),--('Week 2 Schedule'!$C$2:$C$500&gt;'Week 2 Schedule'!$E$2:$E$500))+SUMPRODUCT(--('Week 2 Schedule'!$B$2:$B$500=$C$28),--('Week 2 Schedule'!$D$2:$D$500=$A36),--('Week 2 Schedule'!$E$2:$E$500&gt;'Week 2 Schedule'!$C$2:$C$500)))+(SUMPRODUCT(--('Week 2 Schedule'!$G$2:$G$500=$A36),--('Week 2 Schedule'!$I$2:$I$500=$C$28),--('Week 2 Schedule'!$H$2:$H$500&gt;'Week 2 Schedule'!$J$2:$J$500))+SUMPRODUCT(--('Week 2 Schedule'!$G$2:$G$500=$C$28),--('Week 2 Schedule'!$I$2:$I$500=$A36),--('Week 2 Schedule'!$J$2:$J$500&gt;'Week 2 Schedule'!$H$2:$H$500)))+(SUMPRODUCT(--('Week 3 Schedule'!$B$2:$B$500=$A36),--('Week 3 Schedule'!$D$2:$D$500=$C$28),--('Week 3 Schedule'!$C$2:$C$500&gt;'Week 3 Schedule'!$E$2:$E$500))+SUMPRODUCT(--('Week 3 Schedule'!$B$2:$B$500=$C$28),--('Week 3 Schedule'!$D$2:$D$500=$A36),--('Week 3 Schedule'!$E$2:$E$500&gt;'Week 3 Schedule'!$C$2:$C$500)))+(SUMPRODUCT(--('Week 3 Schedule'!$G$2:$G$500=$A36),--('Week 3 Schedule'!$I$2:$I$500=$C$28),--('Week 3 Schedule'!$H$2:$H$500&gt;'Week 3 Schedule'!$J$2:$J$500))+SUMPRODUCT(--('Week 3 Schedule'!$G$2:$G$500=$C$28),--('Week 3 Schedule'!$I$2:$I$500=$A36),--('Week 3 Schedule'!$J$2:$J$500&gt;'Week 3 Schedule'!$H$2:$H$500)))+(SUMPRODUCT(--('Week 4 Schedule'!$B$2:$B$500=$A36),--('Week 4 Schedule'!$D$2:$D$500=$C$28),--('Week 4 Schedule'!$C$2:$C$500&gt;'Week 4 Schedule'!$E$2:$E$500))+SUMPRODUCT(--('Week 4 Schedule'!$B$2:$B$500=$C$28),--('Week 4 Schedule'!$D$2:$D$500=$A36),--('Week 4 Schedule'!$E$2:$E$500&gt;'Week 4 Schedule'!$C$2:$C$500)))+(SUMPRODUCT(--('Week 4 Schedule'!$G$2:$G$500=$A36),--('Week 4 Schedule'!$I$2:$I$500=$C$28),--('Week 4 Schedule'!$H$2:$H$500&gt;'Week 4 Schedule'!$J$2:$J$500))+SUMPRODUCT(--('Week 4 Schedule'!$G$2:$G$500=$C$28),--('Week 4 Schedule'!$I$2:$I$500=$A36),--('Week 4 Schedule'!$J$2:$J$500&gt;'Week 4 Schedule'!$H$2:$H$500)))+(SUMPRODUCT(--('Week 5 Schedule'!$B$2:$B$500=$A36),--('Week 5 Schedule'!$D$2:$D$500=$C$28),--('Week 5 Schedule'!$C$2:$C$500&gt;'Week 5 Schedule'!$E$2:$E$500))+SUMPRODUCT(--('Week 5 Schedule'!$B$2:$B$500=$C$28),--('Week 5 Schedule'!$D$2:$D$500=$A36),--('Week 5 Schedule'!$E$2:$E$500&gt;'Week 5 Schedule'!$C$2:$C$500)))+(SUMPRODUCT(--('Week 5 Schedule'!$G$2:$G$500=$A36),--('Week 5 Schedule'!$I$2:$I$500=$C$28),--('Week 5 Schedule'!$H$2:$H$500&gt;'Week 5 Schedule'!$J$2:$J$500))+SUMPRODUCT(--('Week 5 Schedule'!$G$2:$G$500=$C$28),--('Week 5 Schedule'!$I$2:$I$500=$A36),--('Week 5 Schedule'!$J$2:$J$500&gt;'Week 5 Schedule'!$H$2:$H$500)))+(SUMPRODUCT(--('Week 6 Schedule'!$B$2:$B$500=$A36),--('Week 6 Schedule'!$D$2:$D$500=$C$28),--('Week 6 Schedule'!$C$2:$C$500&gt;'Week 6 Schedule'!$E$2:$E$500))+SUMPRODUCT(--('Week 6 Schedule'!$B$2:$B$500=$C$28),--('Week 6 Schedule'!$D$2:$D$500=$A36),--('Week 6 Schedule'!$E$2:$E$500&gt;'Week 6 Schedule'!$C$2:$C$500)))+(SUMPRODUCT(--('Week 6 Schedule'!$G$2:$G$500=$A36),--('Week 6 Schedule'!$I$2:$I$500=$C$28),--('Week 6 Schedule'!$H$2:$H$500&gt;'Week 6 Schedule'!$J$2:$J$500))+SUMPRODUCT(--('Week 6 Schedule'!$G$2:$G$500=$C$28),--('Week 6 Schedule'!$I$2:$I$500=$A36),--('Week 6 Schedule'!$J$2:$J$500&gt;'Week 6 Schedule'!$H$2:$H$500)))</f>
        <v/>
      </c>
      <c r="D36" s="9">
        <f>(SUMPRODUCT(--('Week 1 Schedule'!$B$2:$B$500=$A36),--('Week 1 Schedule'!$D$2:$D$500=$D$28),--('Week 1 Schedule'!$C$2:$C$500&gt;'Week 1 Schedule'!$E$2:$E$500))+SUMPRODUCT(--('Week 1 Schedule'!$B$2:$B$500=$D$28),--('Week 1 Schedule'!$D$2:$D$500=$A36),--('Week 1 Schedule'!$E$2:$E$500&gt;'Week 1 Schedule'!$C$2:$C$500)))+(SUMPRODUCT(--('Week 1 Schedule'!$G$2:$G$500=$A36),--('Week 1 Schedule'!$I$2:$I$500=$D$28),--('Week 1 Schedule'!$H$2:$H$500&gt;'Week 1 Schedule'!$J$2:$J$500))+SUMPRODUCT(--('Week 1 Schedule'!$G$2:$G$500=$D$28),--('Week 1 Schedule'!$I$2:$I$500=$A36),--('Week 1 Schedule'!$J$2:$J$500&gt;'Week 1 Schedule'!$H$2:$H$500)))+(SUMPRODUCT(--('Week 2 Schedule'!$B$2:$B$500=$A36),--('Week 2 Schedule'!$D$2:$D$500=$D$28),--('Week 2 Schedule'!$C$2:$C$500&gt;'Week 2 Schedule'!$E$2:$E$500))+SUMPRODUCT(--('Week 2 Schedule'!$B$2:$B$500=$D$28),--('Week 2 Schedule'!$D$2:$D$500=$A36),--('Week 2 Schedule'!$E$2:$E$500&gt;'Week 2 Schedule'!$C$2:$C$500)))+(SUMPRODUCT(--('Week 2 Schedule'!$G$2:$G$500=$A36),--('Week 2 Schedule'!$I$2:$I$500=$D$28),--('Week 2 Schedule'!$H$2:$H$500&gt;'Week 2 Schedule'!$J$2:$J$500))+SUMPRODUCT(--('Week 2 Schedule'!$G$2:$G$500=$D$28),--('Week 2 Schedule'!$I$2:$I$500=$A36),--('Week 2 Schedule'!$J$2:$J$500&gt;'Week 2 Schedule'!$H$2:$H$500)))+(SUMPRODUCT(--('Week 3 Schedule'!$B$2:$B$500=$A36),--('Week 3 Schedule'!$D$2:$D$500=$D$28),--('Week 3 Schedule'!$C$2:$C$500&gt;'Week 3 Schedule'!$E$2:$E$500))+SUMPRODUCT(--('Week 3 Schedule'!$B$2:$B$500=$D$28),--('Week 3 Schedule'!$D$2:$D$500=$A36),--('Week 3 Schedule'!$E$2:$E$500&gt;'Week 3 Schedule'!$C$2:$C$500)))+(SUMPRODUCT(--('Week 3 Schedule'!$G$2:$G$500=$A36),--('Week 3 Schedule'!$I$2:$I$500=$D$28),--('Week 3 Schedule'!$H$2:$H$500&gt;'Week 3 Schedule'!$J$2:$J$500))+SUMPRODUCT(--('Week 3 Schedule'!$G$2:$G$500=$D$28),--('Week 3 Schedule'!$I$2:$I$500=$A36),--('Week 3 Schedule'!$J$2:$J$500&gt;'Week 3 Schedule'!$H$2:$H$500)))+(SUMPRODUCT(--('Week 4 Schedule'!$B$2:$B$500=$A36),--('Week 4 Schedule'!$D$2:$D$500=$D$28),--('Week 4 Schedule'!$C$2:$C$500&gt;'Week 4 Schedule'!$E$2:$E$500))+SUMPRODUCT(--('Week 4 Schedule'!$B$2:$B$500=$D$28),--('Week 4 Schedule'!$D$2:$D$500=$A36),--('Week 4 Schedule'!$E$2:$E$500&gt;'Week 4 Schedule'!$C$2:$C$500)))+(SUMPRODUCT(--('Week 4 Schedule'!$G$2:$G$500=$A36),--('Week 4 Schedule'!$I$2:$I$500=$D$28),--('Week 4 Schedule'!$H$2:$H$500&gt;'Week 4 Schedule'!$J$2:$J$500))+SUMPRODUCT(--('Week 4 Schedule'!$G$2:$G$500=$D$28),--('Week 4 Schedule'!$I$2:$I$500=$A36),--('Week 4 Schedule'!$J$2:$J$500&gt;'Week 4 Schedule'!$H$2:$H$500)))+(SUMPRODUCT(--('Week 5 Schedule'!$B$2:$B$500=$A36),--('Week 5 Schedule'!$D$2:$D$500=$D$28),--('Week 5 Schedule'!$C$2:$C$500&gt;'Week 5 Schedule'!$E$2:$E$500))+SUMPRODUCT(--('Week 5 Schedule'!$B$2:$B$500=$D$28),--('Week 5 Schedule'!$D$2:$D$500=$A36),--('Week 5 Schedule'!$E$2:$E$500&gt;'Week 5 Schedule'!$C$2:$C$500)))+(SUMPRODUCT(--('Week 5 Schedule'!$G$2:$G$500=$A36),--('Week 5 Schedule'!$I$2:$I$500=$D$28),--('Week 5 Schedule'!$H$2:$H$500&gt;'Week 5 Schedule'!$J$2:$J$500))+SUMPRODUCT(--('Week 5 Schedule'!$G$2:$G$500=$D$28),--('Week 5 Schedule'!$I$2:$I$500=$A36),--('Week 5 Schedule'!$J$2:$J$500&gt;'Week 5 Schedule'!$H$2:$H$500)))+(SUMPRODUCT(--('Week 6 Schedule'!$B$2:$B$500=$A36),--('Week 6 Schedule'!$D$2:$D$500=$D$28),--('Week 6 Schedule'!$C$2:$C$500&gt;'Week 6 Schedule'!$E$2:$E$500))+SUMPRODUCT(--('Week 6 Schedule'!$B$2:$B$500=$D$28),--('Week 6 Schedule'!$D$2:$D$500=$A36),--('Week 6 Schedule'!$E$2:$E$500&gt;'Week 6 Schedule'!$C$2:$C$500)))+(SUMPRODUCT(--('Week 6 Schedule'!$G$2:$G$500=$A36),--('Week 6 Schedule'!$I$2:$I$500=$D$28),--('Week 6 Schedule'!$H$2:$H$500&gt;'Week 6 Schedule'!$J$2:$J$500))+SUMPRODUCT(--('Week 6 Schedule'!$G$2:$G$500=$D$28),--('Week 6 Schedule'!$I$2:$I$500=$A36),--('Week 6 Schedule'!$J$2:$J$500&gt;'Week 6 Schedule'!$H$2:$H$500)))</f>
        <v/>
      </c>
      <c r="E36" s="9">
        <f>(SUMPRODUCT(--('Week 1 Schedule'!$B$2:$B$500=$A36),--('Week 1 Schedule'!$D$2:$D$500=$E$28),--('Week 1 Schedule'!$C$2:$C$500&gt;'Week 1 Schedule'!$E$2:$E$500))+SUMPRODUCT(--('Week 1 Schedule'!$B$2:$B$500=$E$28),--('Week 1 Schedule'!$D$2:$D$500=$A36),--('Week 1 Schedule'!$E$2:$E$500&gt;'Week 1 Schedule'!$C$2:$C$500)))+(SUMPRODUCT(--('Week 1 Schedule'!$G$2:$G$500=$A36),--('Week 1 Schedule'!$I$2:$I$500=$E$28),--('Week 1 Schedule'!$H$2:$H$500&gt;'Week 1 Schedule'!$J$2:$J$500))+SUMPRODUCT(--('Week 1 Schedule'!$G$2:$G$500=$E$28),--('Week 1 Schedule'!$I$2:$I$500=$A36),--('Week 1 Schedule'!$J$2:$J$500&gt;'Week 1 Schedule'!$H$2:$H$500)))+(SUMPRODUCT(--('Week 2 Schedule'!$B$2:$B$500=$A36),--('Week 2 Schedule'!$D$2:$D$500=$E$28),--('Week 2 Schedule'!$C$2:$C$500&gt;'Week 2 Schedule'!$E$2:$E$500))+SUMPRODUCT(--('Week 2 Schedule'!$B$2:$B$500=$E$28),--('Week 2 Schedule'!$D$2:$D$500=$A36),--('Week 2 Schedule'!$E$2:$E$500&gt;'Week 2 Schedule'!$C$2:$C$500)))+(SUMPRODUCT(--('Week 2 Schedule'!$G$2:$G$500=$A36),--('Week 2 Schedule'!$I$2:$I$500=$E$28),--('Week 2 Schedule'!$H$2:$H$500&gt;'Week 2 Schedule'!$J$2:$J$500))+SUMPRODUCT(--('Week 2 Schedule'!$G$2:$G$500=$E$28),--('Week 2 Schedule'!$I$2:$I$500=$A36),--('Week 2 Schedule'!$J$2:$J$500&gt;'Week 2 Schedule'!$H$2:$H$500)))+(SUMPRODUCT(--('Week 3 Schedule'!$B$2:$B$500=$A36),--('Week 3 Schedule'!$D$2:$D$500=$E$28),--('Week 3 Schedule'!$C$2:$C$500&gt;'Week 3 Schedule'!$E$2:$E$500))+SUMPRODUCT(--('Week 3 Schedule'!$B$2:$B$500=$E$28),--('Week 3 Schedule'!$D$2:$D$500=$A36),--('Week 3 Schedule'!$E$2:$E$500&gt;'Week 3 Schedule'!$C$2:$C$500)))+(SUMPRODUCT(--('Week 3 Schedule'!$G$2:$G$500=$A36),--('Week 3 Schedule'!$I$2:$I$500=$E$28),--('Week 3 Schedule'!$H$2:$H$500&gt;'Week 3 Schedule'!$J$2:$J$500))+SUMPRODUCT(--('Week 3 Schedule'!$G$2:$G$500=$E$28),--('Week 3 Schedule'!$I$2:$I$500=$A36),--('Week 3 Schedule'!$J$2:$J$500&gt;'Week 3 Schedule'!$H$2:$H$500)))+(SUMPRODUCT(--('Week 4 Schedule'!$B$2:$B$500=$A36),--('Week 4 Schedule'!$D$2:$D$500=$E$28),--('Week 4 Schedule'!$C$2:$C$500&gt;'Week 4 Schedule'!$E$2:$E$500))+SUMPRODUCT(--('Week 4 Schedule'!$B$2:$B$500=$E$28),--('Week 4 Schedule'!$D$2:$D$500=$A36),--('Week 4 Schedule'!$E$2:$E$500&gt;'Week 4 Schedule'!$C$2:$C$500)))+(SUMPRODUCT(--('Week 4 Schedule'!$G$2:$G$500=$A36),--('Week 4 Schedule'!$I$2:$I$500=$E$28),--('Week 4 Schedule'!$H$2:$H$500&gt;'Week 4 Schedule'!$J$2:$J$500))+SUMPRODUCT(--('Week 4 Schedule'!$G$2:$G$500=$E$28),--('Week 4 Schedule'!$I$2:$I$500=$A36),--('Week 4 Schedule'!$J$2:$J$500&gt;'Week 4 Schedule'!$H$2:$H$500)))+(SUMPRODUCT(--('Week 5 Schedule'!$B$2:$B$500=$A36),--('Week 5 Schedule'!$D$2:$D$500=$E$28),--('Week 5 Schedule'!$C$2:$C$500&gt;'Week 5 Schedule'!$E$2:$E$500))+SUMPRODUCT(--('Week 5 Schedule'!$B$2:$B$500=$E$28),--('Week 5 Schedule'!$D$2:$D$500=$A36),--('Week 5 Schedule'!$E$2:$E$500&gt;'Week 5 Schedule'!$C$2:$C$500)))+(SUMPRODUCT(--('Week 5 Schedule'!$G$2:$G$500=$A36),--('Week 5 Schedule'!$I$2:$I$500=$E$28),--('Week 5 Schedule'!$H$2:$H$500&gt;'Week 5 Schedule'!$J$2:$J$500))+SUMPRODUCT(--('Week 5 Schedule'!$G$2:$G$500=$E$28),--('Week 5 Schedule'!$I$2:$I$500=$A36),--('Week 5 Schedule'!$J$2:$J$500&gt;'Week 5 Schedule'!$H$2:$H$500)))+(SUMPRODUCT(--('Week 6 Schedule'!$B$2:$B$500=$A36),--('Week 6 Schedule'!$D$2:$D$500=$E$28),--('Week 6 Schedule'!$C$2:$C$500&gt;'Week 6 Schedule'!$E$2:$E$500))+SUMPRODUCT(--('Week 6 Schedule'!$B$2:$B$500=$E$28),--('Week 6 Schedule'!$D$2:$D$500=$A36),--('Week 6 Schedule'!$E$2:$E$500&gt;'Week 6 Schedule'!$C$2:$C$500)))+(SUMPRODUCT(--('Week 6 Schedule'!$G$2:$G$500=$A36),--('Week 6 Schedule'!$I$2:$I$500=$E$28),--('Week 6 Schedule'!$H$2:$H$500&gt;'Week 6 Schedule'!$J$2:$J$500))+SUMPRODUCT(--('Week 6 Schedule'!$G$2:$G$500=$E$28),--('Week 6 Schedule'!$I$2:$I$500=$A36),--('Week 6 Schedule'!$J$2:$J$500&gt;'Week 6 Schedule'!$H$2:$H$500)))</f>
        <v/>
      </c>
      <c r="F36" s="9">
        <f>(SUMPRODUCT(--('Week 1 Schedule'!$B$2:$B$500=$A36),--('Week 1 Schedule'!$D$2:$D$500=$F$28),--('Week 1 Schedule'!$C$2:$C$500&gt;'Week 1 Schedule'!$E$2:$E$500))+SUMPRODUCT(--('Week 1 Schedule'!$B$2:$B$500=$F$28),--('Week 1 Schedule'!$D$2:$D$500=$A36),--('Week 1 Schedule'!$E$2:$E$500&gt;'Week 1 Schedule'!$C$2:$C$500)))+(SUMPRODUCT(--('Week 1 Schedule'!$G$2:$G$500=$A36),--('Week 1 Schedule'!$I$2:$I$500=$F$28),--('Week 1 Schedule'!$H$2:$H$500&gt;'Week 1 Schedule'!$J$2:$J$500))+SUMPRODUCT(--('Week 1 Schedule'!$G$2:$G$500=$F$28),--('Week 1 Schedule'!$I$2:$I$500=$A36),--('Week 1 Schedule'!$J$2:$J$500&gt;'Week 1 Schedule'!$H$2:$H$500)))+(SUMPRODUCT(--('Week 2 Schedule'!$B$2:$B$500=$A36),--('Week 2 Schedule'!$D$2:$D$500=$F$28),--('Week 2 Schedule'!$C$2:$C$500&gt;'Week 2 Schedule'!$E$2:$E$500))+SUMPRODUCT(--('Week 2 Schedule'!$B$2:$B$500=$F$28),--('Week 2 Schedule'!$D$2:$D$500=$A36),--('Week 2 Schedule'!$E$2:$E$500&gt;'Week 2 Schedule'!$C$2:$C$500)))+(SUMPRODUCT(--('Week 2 Schedule'!$G$2:$G$500=$A36),--('Week 2 Schedule'!$I$2:$I$500=$F$28),--('Week 2 Schedule'!$H$2:$H$500&gt;'Week 2 Schedule'!$J$2:$J$500))+SUMPRODUCT(--('Week 2 Schedule'!$G$2:$G$500=$F$28),--('Week 2 Schedule'!$I$2:$I$500=$A36),--('Week 2 Schedule'!$J$2:$J$500&gt;'Week 2 Schedule'!$H$2:$H$500)))+(SUMPRODUCT(--('Week 3 Schedule'!$B$2:$B$500=$A36),--('Week 3 Schedule'!$D$2:$D$500=$F$28),--('Week 3 Schedule'!$C$2:$C$500&gt;'Week 3 Schedule'!$E$2:$E$500))+SUMPRODUCT(--('Week 3 Schedule'!$B$2:$B$500=$F$28),--('Week 3 Schedule'!$D$2:$D$500=$A36),--('Week 3 Schedule'!$E$2:$E$500&gt;'Week 3 Schedule'!$C$2:$C$500)))+(SUMPRODUCT(--('Week 3 Schedule'!$G$2:$G$500=$A36),--('Week 3 Schedule'!$I$2:$I$500=$F$28),--('Week 3 Schedule'!$H$2:$H$500&gt;'Week 3 Schedule'!$J$2:$J$500))+SUMPRODUCT(--('Week 3 Schedule'!$G$2:$G$500=$F$28),--('Week 3 Schedule'!$I$2:$I$500=$A36),--('Week 3 Schedule'!$J$2:$J$500&gt;'Week 3 Schedule'!$H$2:$H$500)))+(SUMPRODUCT(--('Week 4 Schedule'!$B$2:$B$500=$A36),--('Week 4 Schedule'!$D$2:$D$500=$F$28),--('Week 4 Schedule'!$C$2:$C$500&gt;'Week 4 Schedule'!$E$2:$E$500))+SUMPRODUCT(--('Week 4 Schedule'!$B$2:$B$500=$F$28),--('Week 4 Schedule'!$D$2:$D$500=$A36),--('Week 4 Schedule'!$E$2:$E$500&gt;'Week 4 Schedule'!$C$2:$C$500)))+(SUMPRODUCT(--('Week 4 Schedule'!$G$2:$G$500=$A36),--('Week 4 Schedule'!$I$2:$I$500=$F$28),--('Week 4 Schedule'!$H$2:$H$500&gt;'Week 4 Schedule'!$J$2:$J$500))+SUMPRODUCT(--('Week 4 Schedule'!$G$2:$G$500=$F$28),--('Week 4 Schedule'!$I$2:$I$500=$A36),--('Week 4 Schedule'!$J$2:$J$500&gt;'Week 4 Schedule'!$H$2:$H$500)))+(SUMPRODUCT(--('Week 5 Schedule'!$B$2:$B$500=$A36),--('Week 5 Schedule'!$D$2:$D$500=$F$28),--('Week 5 Schedule'!$C$2:$C$500&gt;'Week 5 Schedule'!$E$2:$E$500))+SUMPRODUCT(--('Week 5 Schedule'!$B$2:$B$500=$F$28),--('Week 5 Schedule'!$D$2:$D$500=$A36),--('Week 5 Schedule'!$E$2:$E$500&gt;'Week 5 Schedule'!$C$2:$C$500)))+(SUMPRODUCT(--('Week 5 Schedule'!$G$2:$G$500=$A36),--('Week 5 Schedule'!$I$2:$I$500=$F$28),--('Week 5 Schedule'!$H$2:$H$500&gt;'Week 5 Schedule'!$J$2:$J$500))+SUMPRODUCT(--('Week 5 Schedule'!$G$2:$G$500=$F$28),--('Week 5 Schedule'!$I$2:$I$500=$A36),--('Week 5 Schedule'!$J$2:$J$500&gt;'Week 5 Schedule'!$H$2:$H$500)))+(SUMPRODUCT(--('Week 6 Schedule'!$B$2:$B$500=$A36),--('Week 6 Schedule'!$D$2:$D$500=$F$28),--('Week 6 Schedule'!$C$2:$C$500&gt;'Week 6 Schedule'!$E$2:$E$500))+SUMPRODUCT(--('Week 6 Schedule'!$B$2:$B$500=$F$28),--('Week 6 Schedule'!$D$2:$D$500=$A36),--('Week 6 Schedule'!$E$2:$E$500&gt;'Week 6 Schedule'!$C$2:$C$500)))+(SUMPRODUCT(--('Week 6 Schedule'!$G$2:$G$500=$A36),--('Week 6 Schedule'!$I$2:$I$500=$F$28),--('Week 6 Schedule'!$H$2:$H$500&gt;'Week 6 Schedule'!$J$2:$J$500))+SUMPRODUCT(--('Week 6 Schedule'!$G$2:$G$500=$F$28),--('Week 6 Schedule'!$I$2:$I$500=$A36),--('Week 6 Schedule'!$J$2:$J$500&gt;'Week 6 Schedule'!$H$2:$H$500)))</f>
        <v/>
      </c>
      <c r="G36" s="9">
        <f>(SUMPRODUCT(--('Week 1 Schedule'!$B$2:$B$500=$A36),--('Week 1 Schedule'!$D$2:$D$500=$G$28),--('Week 1 Schedule'!$C$2:$C$500&gt;'Week 1 Schedule'!$E$2:$E$500))+SUMPRODUCT(--('Week 1 Schedule'!$B$2:$B$500=$G$28),--('Week 1 Schedule'!$D$2:$D$500=$A36),--('Week 1 Schedule'!$E$2:$E$500&gt;'Week 1 Schedule'!$C$2:$C$500)))+(SUMPRODUCT(--('Week 1 Schedule'!$G$2:$G$500=$A36),--('Week 1 Schedule'!$I$2:$I$500=$G$28),--('Week 1 Schedule'!$H$2:$H$500&gt;'Week 1 Schedule'!$J$2:$J$500))+SUMPRODUCT(--('Week 1 Schedule'!$G$2:$G$500=$G$28),--('Week 1 Schedule'!$I$2:$I$500=$A36),--('Week 1 Schedule'!$J$2:$J$500&gt;'Week 1 Schedule'!$H$2:$H$500)))+(SUMPRODUCT(--('Week 2 Schedule'!$B$2:$B$500=$A36),--('Week 2 Schedule'!$D$2:$D$500=$G$28),--('Week 2 Schedule'!$C$2:$C$500&gt;'Week 2 Schedule'!$E$2:$E$500))+SUMPRODUCT(--('Week 2 Schedule'!$B$2:$B$500=$G$28),--('Week 2 Schedule'!$D$2:$D$500=$A36),--('Week 2 Schedule'!$E$2:$E$500&gt;'Week 2 Schedule'!$C$2:$C$500)))+(SUMPRODUCT(--('Week 2 Schedule'!$G$2:$G$500=$A36),--('Week 2 Schedule'!$I$2:$I$500=$G$28),--('Week 2 Schedule'!$H$2:$H$500&gt;'Week 2 Schedule'!$J$2:$J$500))+SUMPRODUCT(--('Week 2 Schedule'!$G$2:$G$500=$G$28),--('Week 2 Schedule'!$I$2:$I$500=$A36),--('Week 2 Schedule'!$J$2:$J$500&gt;'Week 2 Schedule'!$H$2:$H$500)))+(SUMPRODUCT(--('Week 3 Schedule'!$B$2:$B$500=$A36),--('Week 3 Schedule'!$D$2:$D$500=$G$28),--('Week 3 Schedule'!$C$2:$C$500&gt;'Week 3 Schedule'!$E$2:$E$500))+SUMPRODUCT(--('Week 3 Schedule'!$B$2:$B$500=$G$28),--('Week 3 Schedule'!$D$2:$D$500=$A36),--('Week 3 Schedule'!$E$2:$E$500&gt;'Week 3 Schedule'!$C$2:$C$500)))+(SUMPRODUCT(--('Week 3 Schedule'!$G$2:$G$500=$A36),--('Week 3 Schedule'!$I$2:$I$500=$G$28),--('Week 3 Schedule'!$H$2:$H$500&gt;'Week 3 Schedule'!$J$2:$J$500))+SUMPRODUCT(--('Week 3 Schedule'!$G$2:$G$500=$G$28),--('Week 3 Schedule'!$I$2:$I$500=$A36),--('Week 3 Schedule'!$J$2:$J$500&gt;'Week 3 Schedule'!$H$2:$H$500)))+(SUMPRODUCT(--('Week 4 Schedule'!$B$2:$B$500=$A36),--('Week 4 Schedule'!$D$2:$D$500=$G$28),--('Week 4 Schedule'!$C$2:$C$500&gt;'Week 4 Schedule'!$E$2:$E$500))+SUMPRODUCT(--('Week 4 Schedule'!$B$2:$B$500=$G$28),--('Week 4 Schedule'!$D$2:$D$500=$A36),--('Week 4 Schedule'!$E$2:$E$500&gt;'Week 4 Schedule'!$C$2:$C$500)))+(SUMPRODUCT(--('Week 4 Schedule'!$G$2:$G$500=$A36),--('Week 4 Schedule'!$I$2:$I$500=$G$28),--('Week 4 Schedule'!$H$2:$H$500&gt;'Week 4 Schedule'!$J$2:$J$500))+SUMPRODUCT(--('Week 4 Schedule'!$G$2:$G$500=$G$28),--('Week 4 Schedule'!$I$2:$I$500=$A36),--('Week 4 Schedule'!$J$2:$J$500&gt;'Week 4 Schedule'!$H$2:$H$500)))+(SUMPRODUCT(--('Week 5 Schedule'!$B$2:$B$500=$A36),--('Week 5 Schedule'!$D$2:$D$500=$G$28),--('Week 5 Schedule'!$C$2:$C$500&gt;'Week 5 Schedule'!$E$2:$E$500))+SUMPRODUCT(--('Week 5 Schedule'!$B$2:$B$500=$G$28),--('Week 5 Schedule'!$D$2:$D$500=$A36),--('Week 5 Schedule'!$E$2:$E$500&gt;'Week 5 Schedule'!$C$2:$C$500)))+(SUMPRODUCT(--('Week 5 Schedule'!$G$2:$G$500=$A36),--('Week 5 Schedule'!$I$2:$I$500=$G$28),--('Week 5 Schedule'!$H$2:$H$500&gt;'Week 5 Schedule'!$J$2:$J$500))+SUMPRODUCT(--('Week 5 Schedule'!$G$2:$G$500=$G$28),--('Week 5 Schedule'!$I$2:$I$500=$A36),--('Week 5 Schedule'!$J$2:$J$500&gt;'Week 5 Schedule'!$H$2:$H$500)))+(SUMPRODUCT(--('Week 6 Schedule'!$B$2:$B$500=$A36),--('Week 6 Schedule'!$D$2:$D$500=$G$28),--('Week 6 Schedule'!$C$2:$C$500&gt;'Week 6 Schedule'!$E$2:$E$500))+SUMPRODUCT(--('Week 6 Schedule'!$B$2:$B$500=$G$28),--('Week 6 Schedule'!$D$2:$D$500=$A36),--('Week 6 Schedule'!$E$2:$E$500&gt;'Week 6 Schedule'!$C$2:$C$500)))+(SUMPRODUCT(--('Week 6 Schedule'!$G$2:$G$500=$A36),--('Week 6 Schedule'!$I$2:$I$500=$G$28),--('Week 6 Schedule'!$H$2:$H$500&gt;'Week 6 Schedule'!$J$2:$J$500))+SUMPRODUCT(--('Week 6 Schedule'!$G$2:$G$500=$G$28),--('Week 6 Schedule'!$I$2:$I$500=$A36),--('Week 6 Schedule'!$J$2:$J$500&gt;'Week 6 Schedule'!$H$2:$H$500)))</f>
        <v/>
      </c>
      <c r="H36" s="9">
        <f>(SUMPRODUCT(--('Week 1 Schedule'!$B$2:$B$500=$A36),--('Week 1 Schedule'!$D$2:$D$500=$H$28),--('Week 1 Schedule'!$C$2:$C$500&gt;'Week 1 Schedule'!$E$2:$E$500))+SUMPRODUCT(--('Week 1 Schedule'!$B$2:$B$500=$H$28),--('Week 1 Schedule'!$D$2:$D$500=$A36),--('Week 1 Schedule'!$E$2:$E$500&gt;'Week 1 Schedule'!$C$2:$C$500)))+(SUMPRODUCT(--('Week 1 Schedule'!$G$2:$G$500=$A36),--('Week 1 Schedule'!$I$2:$I$500=$H$28),--('Week 1 Schedule'!$H$2:$H$500&gt;'Week 1 Schedule'!$J$2:$J$500))+SUMPRODUCT(--('Week 1 Schedule'!$G$2:$G$500=$H$28),--('Week 1 Schedule'!$I$2:$I$500=$A36),--('Week 1 Schedule'!$J$2:$J$500&gt;'Week 1 Schedule'!$H$2:$H$500)))+(SUMPRODUCT(--('Week 2 Schedule'!$B$2:$B$500=$A36),--('Week 2 Schedule'!$D$2:$D$500=$H$28),--('Week 2 Schedule'!$C$2:$C$500&gt;'Week 2 Schedule'!$E$2:$E$500))+SUMPRODUCT(--('Week 2 Schedule'!$B$2:$B$500=$H$28),--('Week 2 Schedule'!$D$2:$D$500=$A36),--('Week 2 Schedule'!$E$2:$E$500&gt;'Week 2 Schedule'!$C$2:$C$500)))+(SUMPRODUCT(--('Week 2 Schedule'!$G$2:$G$500=$A36),--('Week 2 Schedule'!$I$2:$I$500=$H$28),--('Week 2 Schedule'!$H$2:$H$500&gt;'Week 2 Schedule'!$J$2:$J$500))+SUMPRODUCT(--('Week 2 Schedule'!$G$2:$G$500=$H$28),--('Week 2 Schedule'!$I$2:$I$500=$A36),--('Week 2 Schedule'!$J$2:$J$500&gt;'Week 2 Schedule'!$H$2:$H$500)))+(SUMPRODUCT(--('Week 3 Schedule'!$B$2:$B$500=$A36),--('Week 3 Schedule'!$D$2:$D$500=$H$28),--('Week 3 Schedule'!$C$2:$C$500&gt;'Week 3 Schedule'!$E$2:$E$500))+SUMPRODUCT(--('Week 3 Schedule'!$B$2:$B$500=$H$28),--('Week 3 Schedule'!$D$2:$D$500=$A36),--('Week 3 Schedule'!$E$2:$E$500&gt;'Week 3 Schedule'!$C$2:$C$500)))+(SUMPRODUCT(--('Week 3 Schedule'!$G$2:$G$500=$A36),--('Week 3 Schedule'!$I$2:$I$500=$H$28),--('Week 3 Schedule'!$H$2:$H$500&gt;'Week 3 Schedule'!$J$2:$J$500))+SUMPRODUCT(--('Week 3 Schedule'!$G$2:$G$500=$H$28),--('Week 3 Schedule'!$I$2:$I$500=$A36),--('Week 3 Schedule'!$J$2:$J$500&gt;'Week 3 Schedule'!$H$2:$H$500)))+(SUMPRODUCT(--('Week 4 Schedule'!$B$2:$B$500=$A36),--('Week 4 Schedule'!$D$2:$D$500=$H$28),--('Week 4 Schedule'!$C$2:$C$500&gt;'Week 4 Schedule'!$E$2:$E$500))+SUMPRODUCT(--('Week 4 Schedule'!$B$2:$B$500=$H$28),--('Week 4 Schedule'!$D$2:$D$500=$A36),--('Week 4 Schedule'!$E$2:$E$500&gt;'Week 4 Schedule'!$C$2:$C$500)))+(SUMPRODUCT(--('Week 4 Schedule'!$G$2:$G$500=$A36),--('Week 4 Schedule'!$I$2:$I$500=$H$28),--('Week 4 Schedule'!$H$2:$H$500&gt;'Week 4 Schedule'!$J$2:$J$500))+SUMPRODUCT(--('Week 4 Schedule'!$G$2:$G$500=$H$28),--('Week 4 Schedule'!$I$2:$I$500=$A36),--('Week 4 Schedule'!$J$2:$J$500&gt;'Week 4 Schedule'!$H$2:$H$500)))+(SUMPRODUCT(--('Week 5 Schedule'!$B$2:$B$500=$A36),--('Week 5 Schedule'!$D$2:$D$500=$H$28),--('Week 5 Schedule'!$C$2:$C$500&gt;'Week 5 Schedule'!$E$2:$E$500))+SUMPRODUCT(--('Week 5 Schedule'!$B$2:$B$500=$H$28),--('Week 5 Schedule'!$D$2:$D$500=$A36),--('Week 5 Schedule'!$E$2:$E$500&gt;'Week 5 Schedule'!$C$2:$C$500)))+(SUMPRODUCT(--('Week 5 Schedule'!$G$2:$G$500=$A36),--('Week 5 Schedule'!$I$2:$I$500=$H$28),--('Week 5 Schedule'!$H$2:$H$500&gt;'Week 5 Schedule'!$J$2:$J$500))+SUMPRODUCT(--('Week 5 Schedule'!$G$2:$G$500=$H$28),--('Week 5 Schedule'!$I$2:$I$500=$A36),--('Week 5 Schedule'!$J$2:$J$500&gt;'Week 5 Schedule'!$H$2:$H$500)))+(SUMPRODUCT(--('Week 6 Schedule'!$B$2:$B$500=$A36),--('Week 6 Schedule'!$D$2:$D$500=$H$28),--('Week 6 Schedule'!$C$2:$C$500&gt;'Week 6 Schedule'!$E$2:$E$500))+SUMPRODUCT(--('Week 6 Schedule'!$B$2:$B$500=$H$28),--('Week 6 Schedule'!$D$2:$D$500=$A36),--('Week 6 Schedule'!$E$2:$E$500&gt;'Week 6 Schedule'!$C$2:$C$500)))+(SUMPRODUCT(--('Week 6 Schedule'!$G$2:$G$500=$A36),--('Week 6 Schedule'!$I$2:$I$500=$H$28),--('Week 6 Schedule'!$H$2:$H$500&gt;'Week 6 Schedule'!$J$2:$J$500))+SUMPRODUCT(--('Week 6 Schedule'!$G$2:$G$500=$H$28),--('Week 6 Schedule'!$I$2:$I$500=$A36),--('Week 6 Schedule'!$J$2:$J$500&gt;'Week 6 Schedule'!$H$2:$H$500)))</f>
        <v/>
      </c>
      <c r="I36" s="9" t="inlineStr">
        <is>
          <t>—</t>
        </is>
      </c>
      <c r="J36" s="9" t="n"/>
      <c r="K36" s="9" t="n"/>
      <c r="L36" s="9" t="n"/>
      <c r="M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1</t>
        </is>
      </c>
      <c r="C1" s="3" t="n"/>
      <c r="D1" s="2" t="inlineStr">
        <is>
          <t>Team 2</t>
        </is>
      </c>
      <c r="E1" s="3" t="n"/>
      <c r="F1" s="4" t="n"/>
      <c r="G1" s="2" t="inlineStr">
        <is>
          <t>Team 3</t>
        </is>
      </c>
      <c r="H1" s="3" t="n"/>
      <c r="I1" s="2" t="inlineStr">
        <is>
          <t>Team 4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5</t>
        </is>
      </c>
      <c r="C3" s="3" t="n"/>
      <c r="D3" s="2" t="inlineStr">
        <is>
          <t>Team 6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2</t>
        </is>
      </c>
      <c r="C5" s="3" t="n"/>
      <c r="D5" s="2" t="inlineStr">
        <is>
          <t>Team 1</t>
        </is>
      </c>
      <c r="E5" s="3" t="n"/>
      <c r="F5" s="4" t="n"/>
      <c r="G5" s="2" t="inlineStr">
        <is>
          <t>Team 4</t>
        </is>
      </c>
      <c r="H5" s="3" t="n"/>
      <c r="I5" s="2" t="inlineStr">
        <is>
          <t>Team 3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7</t>
        </is>
      </c>
      <c r="C6" s="11" t="n"/>
      <c r="D6" s="12" t="n"/>
      <c r="E6" s="13" t="n"/>
      <c r="F6" s="4" t="n"/>
      <c r="G6" s="6" t="inlineStr">
        <is>
          <t>Refs: Team 8</t>
        </is>
      </c>
      <c r="H6" s="11" t="n"/>
      <c r="I6" s="12" t="n"/>
      <c r="J6" s="13" t="n"/>
      <c r="K6" s="4" t="n"/>
      <c r="L6" s="8" t="inlineStr">
        <is>
          <t>Off: Team 5, Team 6</t>
        </is>
      </c>
    </row>
    <row r="7" ht="15.75" customHeight="1">
      <c r="A7" s="1" t="inlineStr">
        <is>
          <t>Game 04</t>
        </is>
      </c>
      <c r="B7" s="2" t="inlineStr">
        <is>
          <t>Team 6</t>
        </is>
      </c>
      <c r="C7" s="3" t="n"/>
      <c r="D7" s="2" t="inlineStr">
        <is>
          <t>Team 5</t>
        </is>
      </c>
      <c r="E7" s="3" t="n"/>
      <c r="F7" s="4" t="n"/>
      <c r="G7" s="2" t="inlineStr">
        <is>
          <t>Team 8</t>
        </is>
      </c>
      <c r="H7" s="3" t="n"/>
      <c r="I7" s="2" t="inlineStr">
        <is>
          <t>Team 7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4</t>
        </is>
      </c>
      <c r="H8" s="11" t="n"/>
      <c r="I8" s="12" t="n"/>
      <c r="J8" s="13" t="n"/>
      <c r="K8" s="4" t="n"/>
      <c r="L8" s="8" t="inlineStr">
        <is>
          <t>Off: Team 1, Team 2</t>
        </is>
      </c>
    </row>
    <row r="9" ht="15.75" customHeight="1">
      <c r="A9" s="1" t="inlineStr">
        <is>
          <t>Game 05</t>
        </is>
      </c>
      <c r="B9" s="2" t="inlineStr">
        <is>
          <t>Team 3</t>
        </is>
      </c>
      <c r="C9" s="3" t="n"/>
      <c r="D9" s="2" t="inlineStr">
        <is>
          <t>Team 1</t>
        </is>
      </c>
      <c r="E9" s="3" t="n"/>
      <c r="F9" s="4" t="n"/>
      <c r="G9" s="2" t="inlineStr">
        <is>
          <t>Team 4</t>
        </is>
      </c>
      <c r="H9" s="3" t="n"/>
      <c r="I9" s="2" t="inlineStr">
        <is>
          <t>Team 2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5</t>
        </is>
      </c>
      <c r="C10" s="11" t="n"/>
      <c r="D10" s="12" t="n"/>
      <c r="E10" s="13" t="n"/>
      <c r="F10" s="4" t="n"/>
      <c r="G10" s="6" t="inlineStr">
        <is>
          <t>Refs: Team 6</t>
        </is>
      </c>
      <c r="H10" s="11" t="n"/>
      <c r="I10" s="12" t="n"/>
      <c r="J10" s="13" t="n"/>
      <c r="K10" s="4" t="n"/>
      <c r="L10" s="8" t="inlineStr">
        <is>
          <t>Off: Team 7, Team 8</t>
        </is>
      </c>
    </row>
    <row r="11" ht="15.75" customHeight="1">
      <c r="A11" s="1" t="inlineStr">
        <is>
          <t>Game 06</t>
        </is>
      </c>
      <c r="B11" s="2" t="inlineStr">
        <is>
          <t>Team 7</t>
        </is>
      </c>
      <c r="C11" s="3" t="n"/>
      <c r="D11" s="2" t="inlineStr">
        <is>
          <t>Team 5</t>
        </is>
      </c>
      <c r="E11" s="3" t="n"/>
      <c r="F11" s="4" t="n"/>
      <c r="G11" s="2" t="inlineStr">
        <is>
          <t>Team 8</t>
        </is>
      </c>
      <c r="H11" s="3" t="n"/>
      <c r="I11" s="2" t="inlineStr">
        <is>
          <t>Team 6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1</t>
        </is>
      </c>
      <c r="C12" s="11" t="n"/>
      <c r="D12" s="12" t="n"/>
      <c r="E12" s="13" t="n"/>
      <c r="F12" s="4" t="n"/>
      <c r="G12" s="6" t="inlineStr">
        <is>
          <t>Refs: Team 2</t>
        </is>
      </c>
      <c r="H12" s="11" t="n"/>
      <c r="I12" s="12" t="n"/>
      <c r="J12" s="13" t="n"/>
      <c r="K12" s="4" t="n"/>
      <c r="L12" s="8" t="inlineStr">
        <is>
          <t>Off: Team 3, Team 4</t>
        </is>
      </c>
    </row>
    <row r="13" ht="15.75" customHeight="1">
      <c r="A13" s="1" t="inlineStr">
        <is>
          <t>Game 07</t>
        </is>
      </c>
      <c r="B13" s="2" t="inlineStr">
        <is>
          <t>Team 1</t>
        </is>
      </c>
      <c r="C13" s="3" t="n"/>
      <c r="D13" s="2" t="inlineStr">
        <is>
          <t>Team 3</t>
        </is>
      </c>
      <c r="E13" s="3" t="n"/>
      <c r="F13" s="4" t="n"/>
      <c r="G13" s="2" t="inlineStr">
        <is>
          <t>Team 2</t>
        </is>
      </c>
      <c r="H13" s="3" t="n"/>
      <c r="I13" s="2" t="inlineStr">
        <is>
          <t>Team 4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7</t>
        </is>
      </c>
      <c r="C14" s="11" t="n"/>
      <c r="D14" s="12" t="n"/>
      <c r="E14" s="13" t="n"/>
      <c r="F14" s="4" t="n"/>
      <c r="G14" s="6" t="inlineStr">
        <is>
          <t>Refs: Team 8</t>
        </is>
      </c>
      <c r="H14" s="11" t="n"/>
      <c r="I14" s="12" t="n"/>
      <c r="J14" s="13" t="n"/>
      <c r="K14" s="4" t="n"/>
      <c r="L14" s="8" t="inlineStr">
        <is>
          <t>Off: Team 5, Team 6</t>
        </is>
      </c>
    </row>
    <row r="15" ht="15.75" customHeight="1">
      <c r="A15" s="1" t="inlineStr">
        <is>
          <t>Game 08</t>
        </is>
      </c>
      <c r="B15" s="2" t="inlineStr">
        <is>
          <t>Team 5</t>
        </is>
      </c>
      <c r="C15" s="3" t="n"/>
      <c r="D15" s="2" t="inlineStr">
        <is>
          <t>Team 7</t>
        </is>
      </c>
      <c r="E15" s="3" t="n"/>
      <c r="F15" s="4" t="n"/>
      <c r="G15" s="2" t="inlineStr">
        <is>
          <t>Team 6</t>
        </is>
      </c>
      <c r="H15" s="3" t="n"/>
      <c r="I15" s="2" t="inlineStr">
        <is>
          <t>Team 8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3</t>
        </is>
      </c>
      <c r="C16" s="11" t="n"/>
      <c r="D16" s="12" t="n"/>
      <c r="E16" s="13" t="n"/>
      <c r="F16" s="4" t="n"/>
      <c r="G16" s="6" t="inlineStr">
        <is>
          <t>Refs: Team 4</t>
        </is>
      </c>
      <c r="H16" s="11" t="n"/>
      <c r="I16" s="12" t="n"/>
      <c r="J16" s="13" t="n"/>
      <c r="K16" s="4" t="n"/>
      <c r="L16" s="8" t="inlineStr">
        <is>
          <t>Off: Team 1, Team 2</t>
        </is>
      </c>
    </row>
    <row r="17" ht="15.75" customHeight="1">
      <c r="A17" s="1" t="inlineStr">
        <is>
          <t>Game 09</t>
        </is>
      </c>
      <c r="B17" s="2" t="inlineStr">
        <is>
          <t>Team 1</t>
        </is>
      </c>
      <c r="C17" s="3" t="n"/>
      <c r="D17" s="2" t="inlineStr">
        <is>
          <t>Team 4</t>
        </is>
      </c>
      <c r="E17" s="3" t="n"/>
      <c r="F17" s="4" t="n"/>
      <c r="G17" s="2" t="inlineStr">
        <is>
          <t>Team 2</t>
        </is>
      </c>
      <c r="H17" s="3" t="n"/>
      <c r="I17" s="2" t="inlineStr">
        <is>
          <t>Team 3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5</t>
        </is>
      </c>
      <c r="C18" s="11" t="n"/>
      <c r="D18" s="12" t="n"/>
      <c r="E18" s="13" t="n"/>
      <c r="F18" s="4" t="n"/>
      <c r="G18" s="6" t="inlineStr">
        <is>
          <t>Refs: Team 6</t>
        </is>
      </c>
      <c r="H18" s="11" t="n"/>
      <c r="I18" s="12" t="n"/>
      <c r="J18" s="13" t="n"/>
      <c r="K18" s="4" t="n"/>
      <c r="L18" s="8" t="inlineStr">
        <is>
          <t>Off: Team 7, Team 8</t>
        </is>
      </c>
    </row>
    <row r="19" ht="15.75" customHeight="1">
      <c r="A19" s="1" t="inlineStr">
        <is>
          <t>Game 10</t>
        </is>
      </c>
      <c r="B19" s="2" t="inlineStr">
        <is>
          <t>Team 5</t>
        </is>
      </c>
      <c r="C19" s="3" t="n"/>
      <c r="D19" s="2" t="inlineStr">
        <is>
          <t>Team 8</t>
        </is>
      </c>
      <c r="E19" s="3" t="n"/>
      <c r="F19" s="4" t="n"/>
      <c r="G19" s="2" t="inlineStr">
        <is>
          <t>Team 6</t>
        </is>
      </c>
      <c r="H19" s="3" t="n"/>
      <c r="I19" s="2" t="inlineStr">
        <is>
          <t>Team 7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1</t>
        </is>
      </c>
      <c r="C20" s="11" t="n"/>
      <c r="D20" s="12" t="n"/>
      <c r="E20" s="13" t="n"/>
      <c r="F20" s="4" t="n"/>
      <c r="G20" s="6" t="inlineStr">
        <is>
          <t>Refs: Team 2</t>
        </is>
      </c>
      <c r="H20" s="11" t="n"/>
      <c r="I20" s="12" t="n"/>
      <c r="J20" s="13" t="n"/>
      <c r="K20" s="4" t="n"/>
      <c r="L20" s="8" t="inlineStr">
        <is>
          <t>Off: Team 3, Team 4</t>
        </is>
      </c>
    </row>
    <row r="21" ht="15.75" customHeight="1">
      <c r="A21" s="1" t="inlineStr">
        <is>
          <t>Game 11</t>
        </is>
      </c>
      <c r="B21" s="2" t="inlineStr">
        <is>
          <t>Team 4</t>
        </is>
      </c>
      <c r="C21" s="3" t="n"/>
      <c r="D21" s="2" t="inlineStr">
        <is>
          <t>Team 1</t>
        </is>
      </c>
      <c r="E21" s="3" t="n"/>
      <c r="F21" s="4" t="n"/>
      <c r="G21" s="2" t="inlineStr">
        <is>
          <t>Team 3</t>
        </is>
      </c>
      <c r="H21" s="3" t="n"/>
      <c r="I21" s="2" t="inlineStr">
        <is>
          <t>Team 2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7</t>
        </is>
      </c>
      <c r="C22" s="11" t="n"/>
      <c r="D22" s="12" t="n"/>
      <c r="E22" s="13" t="n"/>
      <c r="F22" s="4" t="n"/>
      <c r="G22" s="6" t="inlineStr">
        <is>
          <t>Refs: Team 8</t>
        </is>
      </c>
      <c r="H22" s="11" t="n"/>
      <c r="I22" s="12" t="n"/>
      <c r="J22" s="13" t="n"/>
      <c r="K22" s="4" t="n"/>
      <c r="L22" s="8" t="inlineStr">
        <is>
          <t>Off: Team 5, Team 6</t>
        </is>
      </c>
    </row>
    <row r="23" ht="15.75" customHeight="1">
      <c r="A23" s="1" t="inlineStr">
        <is>
          <t>Game 12</t>
        </is>
      </c>
      <c r="B23" s="2" t="inlineStr">
        <is>
          <t>Team 8</t>
        </is>
      </c>
      <c r="C23" s="3" t="n"/>
      <c r="D23" s="2" t="inlineStr">
        <is>
          <t>Team 5</t>
        </is>
      </c>
      <c r="E23" s="3" t="n"/>
      <c r="F23" s="4" t="n"/>
      <c r="G23" s="2" t="inlineStr">
        <is>
          <t>Team 7</t>
        </is>
      </c>
      <c r="H23" s="3" t="n"/>
      <c r="I23" s="2" t="inlineStr">
        <is>
          <t>Team 6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3</t>
        </is>
      </c>
      <c r="C24" s="11" t="n"/>
      <c r="D24" s="12" t="n"/>
      <c r="E24" s="13" t="n"/>
      <c r="F24" s="4" t="n"/>
      <c r="G24" s="6" t="inlineStr">
        <is>
          <t>Refs: Team 4</t>
        </is>
      </c>
      <c r="H24" s="11" t="n"/>
      <c r="I24" s="12" t="n"/>
      <c r="J24" s="13" t="n"/>
      <c r="K24" s="4" t="n"/>
      <c r="L24" s="8" t="inlineStr">
        <is>
          <t>Off: Team 1, Team 2</t>
        </is>
      </c>
    </row>
    <row r="25" ht="15.75" customHeight="1">
      <c r="A25" s="1" t="inlineStr">
        <is>
          <t>Game 13</t>
        </is>
      </c>
      <c r="B25" s="2" t="inlineStr">
        <is>
          <t>Team 1</t>
        </is>
      </c>
      <c r="C25" s="3" t="n"/>
      <c r="D25" s="2" t="inlineStr">
        <is>
          <t>Team 5</t>
        </is>
      </c>
      <c r="E25" s="3" t="n"/>
      <c r="F25" s="4" t="n"/>
      <c r="G25" s="2" t="inlineStr">
        <is>
          <t>Team 2</t>
        </is>
      </c>
      <c r="H25" s="3" t="n"/>
      <c r="I25" s="2" t="inlineStr">
        <is>
          <t>Team 6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3</t>
        </is>
      </c>
      <c r="C26" s="11" t="n"/>
      <c r="D26" s="12" t="n"/>
      <c r="E26" s="13" t="n"/>
      <c r="F26" s="4" t="n"/>
      <c r="G26" s="6" t="inlineStr">
        <is>
          <t>Refs: Team 4</t>
        </is>
      </c>
      <c r="H26" s="11" t="n"/>
      <c r="I26" s="12" t="n"/>
      <c r="J26" s="13" t="n"/>
      <c r="K26" s="4" t="n"/>
      <c r="L26" s="8" t="inlineStr">
        <is>
          <t>Off: Team 7, Team 8</t>
        </is>
      </c>
    </row>
    <row r="27" ht="15.75" customHeight="1">
      <c r="A27" s="1" t="inlineStr">
        <is>
          <t>Game 14</t>
        </is>
      </c>
      <c r="B27" s="2" t="inlineStr">
        <is>
          <t>Team 3</t>
        </is>
      </c>
      <c r="C27" s="3" t="n"/>
      <c r="D27" s="2" t="inlineStr">
        <is>
          <t>Team 7</t>
        </is>
      </c>
      <c r="E27" s="3" t="n"/>
      <c r="F27" s="4" t="n"/>
      <c r="G27" s="2" t="inlineStr">
        <is>
          <t>Team 4</t>
        </is>
      </c>
      <c r="H27" s="3" t="n"/>
      <c r="I27" s="2" t="inlineStr">
        <is>
          <t>Team 8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1</t>
        </is>
      </c>
      <c r="C28" s="11" t="n"/>
      <c r="D28" s="12" t="n"/>
      <c r="E28" s="13" t="n"/>
      <c r="F28" s="4" t="n"/>
      <c r="G28" s="6" t="inlineStr">
        <is>
          <t>Refs: Team 2</t>
        </is>
      </c>
      <c r="H28" s="11" t="n"/>
      <c r="I28" s="12" t="n"/>
      <c r="J28" s="13" t="n"/>
      <c r="K28" s="4" t="n"/>
      <c r="L28" s="8" t="inlineStr">
        <is>
          <t>Off: Team 5, Team 6</t>
        </is>
      </c>
    </row>
    <row r="29" ht="15.75" customHeight="1">
      <c r="A29" s="1" t="inlineStr">
        <is>
          <t>Game 15</t>
        </is>
      </c>
      <c r="B29" s="2" t="inlineStr">
        <is>
          <t>Team 6</t>
        </is>
      </c>
      <c r="C29" s="3" t="n"/>
      <c r="D29" s="2" t="inlineStr">
        <is>
          <t>Team 1</t>
        </is>
      </c>
      <c r="E29" s="3" t="n"/>
      <c r="F29" s="4" t="n"/>
      <c r="G29" s="2" t="inlineStr">
        <is>
          <t>Team 5</t>
        </is>
      </c>
      <c r="H29" s="3" t="n"/>
      <c r="I29" s="2" t="inlineStr">
        <is>
          <t>Team 2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7</t>
        </is>
      </c>
      <c r="C30" s="11" t="n"/>
      <c r="D30" s="12" t="n"/>
      <c r="E30" s="13" t="n"/>
      <c r="F30" s="4" t="n"/>
      <c r="G30" s="6" t="inlineStr">
        <is>
          <t>Refs: Team 8</t>
        </is>
      </c>
      <c r="H30" s="11" t="n"/>
      <c r="I30" s="12" t="n"/>
      <c r="J30" s="13" t="n"/>
      <c r="K30" s="4" t="n"/>
      <c r="L30" s="8" t="inlineStr">
        <is>
          <t>Off: Team 3, Team 4</t>
        </is>
      </c>
    </row>
    <row r="31" ht="15.75" customHeight="1">
      <c r="A31" s="1" t="inlineStr">
        <is>
          <t>Game 16</t>
        </is>
      </c>
      <c r="B31" s="2" t="inlineStr">
        <is>
          <t>Team 8</t>
        </is>
      </c>
      <c r="C31" s="3" t="n"/>
      <c r="D31" s="2" t="inlineStr">
        <is>
          <t>Team 3</t>
        </is>
      </c>
      <c r="E31" s="3" t="n"/>
      <c r="F31" s="4" t="n"/>
      <c r="G31" s="2" t="inlineStr">
        <is>
          <t>Team 7</t>
        </is>
      </c>
      <c r="H31" s="3" t="n"/>
      <c r="I31" s="2" t="inlineStr">
        <is>
          <t>Team 4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5</t>
        </is>
      </c>
      <c r="C32" s="11" t="n"/>
      <c r="D32" s="12" t="n"/>
      <c r="E32" s="13" t="n"/>
      <c r="F32" s="4" t="n"/>
      <c r="G32" s="6" t="inlineStr">
        <is>
          <t>Refs: Team 6</t>
        </is>
      </c>
      <c r="H32" s="11" t="n"/>
      <c r="I32" s="12" t="n"/>
      <c r="J32" s="13" t="n"/>
      <c r="K32" s="4" t="n"/>
      <c r="L32" s="8" t="inlineStr">
        <is>
          <t>Off: Team 1, Team 2</t>
        </is>
      </c>
    </row>
    <row r="33" ht="15.75" customHeight="1">
      <c r="A33" s="1" t="inlineStr">
        <is>
          <t>Game 17</t>
        </is>
      </c>
      <c r="B33" s="2" t="inlineStr">
        <is>
          <t>Team 1</t>
        </is>
      </c>
      <c r="C33" s="3" t="n"/>
      <c r="D33" s="2" t="inlineStr">
        <is>
          <t>Team 7</t>
        </is>
      </c>
      <c r="E33" s="3" t="n"/>
      <c r="F33" s="4" t="n"/>
      <c r="G33" s="2" t="inlineStr">
        <is>
          <t>Team 2</t>
        </is>
      </c>
      <c r="H33" s="3" t="n"/>
      <c r="I33" s="2" t="inlineStr">
        <is>
          <t>Team 8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3</t>
        </is>
      </c>
      <c r="C34" s="11" t="n"/>
      <c r="D34" s="12" t="n"/>
      <c r="E34" s="13" t="n"/>
      <c r="F34" s="4" t="n"/>
      <c r="G34" s="6" t="inlineStr">
        <is>
          <t>Refs: Team 4</t>
        </is>
      </c>
      <c r="H34" s="11" t="n"/>
      <c r="I34" s="12" t="n"/>
      <c r="J34" s="13" t="n"/>
      <c r="K34" s="4" t="n"/>
      <c r="L34" s="8" t="inlineStr">
        <is>
          <t>Off: Team 5, Team 6</t>
        </is>
      </c>
    </row>
    <row r="35" ht="15.75" customHeight="1">
      <c r="A35" s="1" t="inlineStr">
        <is>
          <t>Game 18</t>
        </is>
      </c>
      <c r="B35" s="2" t="inlineStr">
        <is>
          <t>Team 3</t>
        </is>
      </c>
      <c r="C35" s="3" t="n"/>
      <c r="D35" s="2" t="inlineStr">
        <is>
          <t>Team 5</t>
        </is>
      </c>
      <c r="E35" s="3" t="n"/>
      <c r="F35" s="4" t="n"/>
      <c r="G35" s="2" t="inlineStr">
        <is>
          <t>Team 4</t>
        </is>
      </c>
      <c r="H35" s="3" t="n"/>
      <c r="I35" s="2" t="inlineStr">
        <is>
          <t>Team 6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1</t>
        </is>
      </c>
      <c r="C36" s="11" t="n"/>
      <c r="D36" s="12" t="n"/>
      <c r="E36" s="13" t="n"/>
      <c r="F36" s="4" t="n"/>
      <c r="G36" s="6" t="inlineStr">
        <is>
          <t>Refs: Team 2</t>
        </is>
      </c>
      <c r="H36" s="11" t="n"/>
      <c r="I36" s="12" t="n"/>
      <c r="J36" s="13" t="n"/>
      <c r="K36" s="4" t="n"/>
      <c r="L36" s="8" t="inlineStr">
        <is>
          <t>Off: Team 7, Team 8</t>
        </is>
      </c>
    </row>
    <row r="37" ht="15.75" customHeight="1">
      <c r="A37" s="1" t="inlineStr">
        <is>
          <t>Game 19</t>
        </is>
      </c>
      <c r="B37" s="2" t="inlineStr">
        <is>
          <t>Team 8</t>
        </is>
      </c>
      <c r="C37" s="3" t="n"/>
      <c r="D37" s="2" t="inlineStr">
        <is>
          <t>Team 1</t>
        </is>
      </c>
      <c r="E37" s="3" t="n"/>
      <c r="F37" s="4" t="n"/>
      <c r="G37" s="2" t="inlineStr">
        <is>
          <t>Team 7</t>
        </is>
      </c>
      <c r="H37" s="3" t="n"/>
      <c r="I37" s="2" t="inlineStr">
        <is>
          <t>Team 2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5</t>
        </is>
      </c>
      <c r="C38" s="11" t="n"/>
      <c r="D38" s="12" t="n"/>
      <c r="E38" s="13" t="n"/>
      <c r="F38" s="4" t="n"/>
      <c r="G38" s="6" t="inlineStr">
        <is>
          <t>Refs: Team 6</t>
        </is>
      </c>
      <c r="H38" s="11" t="n"/>
      <c r="I38" s="12" t="n"/>
      <c r="J38" s="13" t="n"/>
      <c r="K38" s="4" t="n"/>
      <c r="L38" s="8" t="inlineStr">
        <is>
          <t>Off: Team 3, Team 4</t>
        </is>
      </c>
    </row>
    <row r="39" ht="15.75" customHeight="1">
      <c r="A39" s="1" t="inlineStr">
        <is>
          <t>Game 20</t>
        </is>
      </c>
      <c r="B39" s="2" t="inlineStr">
        <is>
          <t>Team 6</t>
        </is>
      </c>
      <c r="C39" s="3" t="n"/>
      <c r="D39" s="2" t="inlineStr">
        <is>
          <t>Team 3</t>
        </is>
      </c>
      <c r="E39" s="3" t="n"/>
      <c r="F39" s="4" t="n"/>
      <c r="G39" s="2" t="inlineStr">
        <is>
          <t>Team 5</t>
        </is>
      </c>
      <c r="H39" s="3" t="n"/>
      <c r="I39" s="2" t="inlineStr">
        <is>
          <t>Team 4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7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1</t>
        </is>
      </c>
      <c r="C1" s="3" t="n"/>
      <c r="D1" s="2" t="inlineStr">
        <is>
          <t>Team 2</t>
        </is>
      </c>
      <c r="E1" s="3" t="n"/>
      <c r="F1" s="4" t="n"/>
      <c r="G1" s="2" t="inlineStr">
        <is>
          <t>Team 3</t>
        </is>
      </c>
      <c r="H1" s="3" t="n"/>
      <c r="I1" s="2" t="inlineStr">
        <is>
          <t>Team 4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5</t>
        </is>
      </c>
      <c r="C3" s="3" t="n"/>
      <c r="D3" s="2" t="inlineStr">
        <is>
          <t>Team 6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1</t>
        </is>
      </c>
      <c r="C5" s="3" t="n"/>
      <c r="D5" s="2" t="inlineStr">
        <is>
          <t>Team 3</t>
        </is>
      </c>
      <c r="E5" s="3" t="n"/>
      <c r="F5" s="4" t="n"/>
      <c r="G5" s="2" t="inlineStr">
        <is>
          <t>Team 4</t>
        </is>
      </c>
      <c r="H5" s="3" t="n"/>
      <c r="I5" s="2" t="inlineStr">
        <is>
          <t>Team 2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7</t>
        </is>
      </c>
      <c r="C6" s="11" t="n"/>
      <c r="D6" s="12" t="n"/>
      <c r="E6" s="13" t="n"/>
      <c r="F6" s="4" t="n"/>
      <c r="G6" s="6" t="inlineStr">
        <is>
          <t>Refs: Team 8</t>
        </is>
      </c>
      <c r="H6" s="11" t="n"/>
      <c r="I6" s="12" t="n"/>
      <c r="J6" s="13" t="n"/>
      <c r="K6" s="4" t="n"/>
      <c r="L6" s="8" t="inlineStr">
        <is>
          <t>Off: Team 5, Team 6</t>
        </is>
      </c>
    </row>
    <row r="7" ht="15.75" customHeight="1">
      <c r="A7" s="1" t="inlineStr">
        <is>
          <t>Game 04</t>
        </is>
      </c>
      <c r="B7" s="2" t="inlineStr">
        <is>
          <t>Team 7</t>
        </is>
      </c>
      <c r="C7" s="3" t="n"/>
      <c r="D7" s="2" t="inlineStr">
        <is>
          <t>Team 5</t>
        </is>
      </c>
      <c r="E7" s="3" t="n"/>
      <c r="F7" s="4" t="n"/>
      <c r="G7" s="2" t="inlineStr">
        <is>
          <t>Team 8</t>
        </is>
      </c>
      <c r="H7" s="3" t="n"/>
      <c r="I7" s="2" t="inlineStr">
        <is>
          <t>Team 6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4</t>
        </is>
      </c>
      <c r="H8" s="11" t="n"/>
      <c r="I8" s="12" t="n"/>
      <c r="J8" s="13" t="n"/>
      <c r="K8" s="4" t="n"/>
      <c r="L8" s="8" t="inlineStr">
        <is>
          <t>Off: Team 1, Team 2</t>
        </is>
      </c>
    </row>
    <row r="9" ht="15.75" customHeight="1">
      <c r="A9" s="1" t="inlineStr">
        <is>
          <t>Game 05</t>
        </is>
      </c>
      <c r="B9" s="2" t="inlineStr">
        <is>
          <t>Team 1</t>
        </is>
      </c>
      <c r="C9" s="3" t="n"/>
      <c r="D9" s="2" t="inlineStr">
        <is>
          <t>Team 4</t>
        </is>
      </c>
      <c r="E9" s="3" t="n"/>
      <c r="F9" s="4" t="n"/>
      <c r="G9" s="2" t="inlineStr">
        <is>
          <t>Team 2</t>
        </is>
      </c>
      <c r="H9" s="3" t="n"/>
      <c r="I9" s="2" t="inlineStr">
        <is>
          <t>Team 3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5</t>
        </is>
      </c>
      <c r="C10" s="11" t="n"/>
      <c r="D10" s="12" t="n"/>
      <c r="E10" s="13" t="n"/>
      <c r="F10" s="4" t="n"/>
      <c r="G10" s="6" t="inlineStr">
        <is>
          <t>Refs: Team 6</t>
        </is>
      </c>
      <c r="H10" s="11" t="n"/>
      <c r="I10" s="12" t="n"/>
      <c r="J10" s="13" t="n"/>
      <c r="K10" s="4" t="n"/>
      <c r="L10" s="8" t="inlineStr">
        <is>
          <t>Off: Team 7, Team 8</t>
        </is>
      </c>
    </row>
    <row r="11" ht="15.75" customHeight="1">
      <c r="A11" s="1" t="inlineStr">
        <is>
          <t>Game 06</t>
        </is>
      </c>
      <c r="B11" s="2" t="inlineStr">
        <is>
          <t>Team 5</t>
        </is>
      </c>
      <c r="C11" s="3" t="n"/>
      <c r="D11" s="2" t="inlineStr">
        <is>
          <t>Team 8</t>
        </is>
      </c>
      <c r="E11" s="3" t="n"/>
      <c r="F11" s="4" t="n"/>
      <c r="G11" s="2" t="inlineStr">
        <is>
          <t>Team 6</t>
        </is>
      </c>
      <c r="H11" s="3" t="n"/>
      <c r="I11" s="2" t="inlineStr">
        <is>
          <t>Team 7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1</t>
        </is>
      </c>
      <c r="C12" s="11" t="n"/>
      <c r="D12" s="12" t="n"/>
      <c r="E12" s="13" t="n"/>
      <c r="F12" s="4" t="n"/>
      <c r="G12" s="6" t="inlineStr">
        <is>
          <t>Refs: Team 2</t>
        </is>
      </c>
      <c r="H12" s="11" t="n"/>
      <c r="I12" s="12" t="n"/>
      <c r="J12" s="13" t="n"/>
      <c r="K12" s="4" t="n"/>
      <c r="L12" s="8" t="inlineStr">
        <is>
          <t>Off: Team 3, Team 4</t>
        </is>
      </c>
    </row>
    <row r="13" ht="15.75" customHeight="1">
      <c r="A13" s="1" t="inlineStr">
        <is>
          <t>Game 07</t>
        </is>
      </c>
      <c r="B13" s="2" t="inlineStr">
        <is>
          <t>Team 1</t>
        </is>
      </c>
      <c r="C13" s="3" t="n"/>
      <c r="D13" s="2" t="inlineStr">
        <is>
          <t>Team 5</t>
        </is>
      </c>
      <c r="E13" s="3" t="n"/>
      <c r="F13" s="4" t="n"/>
      <c r="G13" s="2" t="inlineStr">
        <is>
          <t>Team 2</t>
        </is>
      </c>
      <c r="H13" s="3" t="n"/>
      <c r="I13" s="2" t="inlineStr">
        <is>
          <t>Team 6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3</t>
        </is>
      </c>
      <c r="C14" s="11" t="n"/>
      <c r="D14" s="12" t="n"/>
      <c r="E14" s="13" t="n"/>
      <c r="F14" s="4" t="n"/>
      <c r="G14" s="6" t="inlineStr">
        <is>
          <t>Refs: Team 4</t>
        </is>
      </c>
      <c r="H14" s="11" t="n"/>
      <c r="I14" s="12" t="n"/>
      <c r="J14" s="13" t="n"/>
      <c r="K14" s="4" t="n"/>
      <c r="L14" s="8" t="inlineStr">
        <is>
          <t>Off: Team 7, Team 8</t>
        </is>
      </c>
    </row>
    <row r="15" ht="15.75" customHeight="1">
      <c r="A15" s="1" t="inlineStr">
        <is>
          <t>Game 08</t>
        </is>
      </c>
      <c r="B15" s="2" t="inlineStr">
        <is>
          <t>Team 3</t>
        </is>
      </c>
      <c r="C15" s="3" t="n"/>
      <c r="D15" s="2" t="inlineStr">
        <is>
          <t>Team 7</t>
        </is>
      </c>
      <c r="E15" s="3" t="n"/>
      <c r="F15" s="4" t="n"/>
      <c r="G15" s="2" t="inlineStr">
        <is>
          <t>Team 4</t>
        </is>
      </c>
      <c r="H15" s="3" t="n"/>
      <c r="I15" s="2" t="inlineStr">
        <is>
          <t>Team 8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1</t>
        </is>
      </c>
      <c r="C16" s="11" t="n"/>
      <c r="D16" s="12" t="n"/>
      <c r="E16" s="13" t="n"/>
      <c r="F16" s="4" t="n"/>
      <c r="G16" s="6" t="inlineStr">
        <is>
          <t>Refs: Team 2</t>
        </is>
      </c>
      <c r="H16" s="11" t="n"/>
      <c r="I16" s="12" t="n"/>
      <c r="J16" s="13" t="n"/>
      <c r="K16" s="4" t="n"/>
      <c r="L16" s="8" t="inlineStr">
        <is>
          <t>Off: Team 5, Team 6</t>
        </is>
      </c>
    </row>
    <row r="17" ht="15.75" customHeight="1">
      <c r="A17" s="1" t="inlineStr">
        <is>
          <t>Game 09</t>
        </is>
      </c>
      <c r="B17" s="2" t="inlineStr">
        <is>
          <t>Team 5</t>
        </is>
      </c>
      <c r="C17" s="3" t="n"/>
      <c r="D17" s="2" t="inlineStr">
        <is>
          <t>Team 1</t>
        </is>
      </c>
      <c r="E17" s="3" t="n"/>
      <c r="F17" s="4" t="n"/>
      <c r="G17" s="2" t="inlineStr">
        <is>
          <t>Team 6</t>
        </is>
      </c>
      <c r="H17" s="3" t="n"/>
      <c r="I17" s="2" t="inlineStr">
        <is>
          <t>Team 2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7</t>
        </is>
      </c>
      <c r="C18" s="11" t="n"/>
      <c r="D18" s="12" t="n"/>
      <c r="E18" s="13" t="n"/>
      <c r="F18" s="4" t="n"/>
      <c r="G18" s="6" t="inlineStr">
        <is>
          <t>Refs: Team 8</t>
        </is>
      </c>
      <c r="H18" s="11" t="n"/>
      <c r="I18" s="12" t="n"/>
      <c r="J18" s="13" t="n"/>
      <c r="K18" s="4" t="n"/>
      <c r="L18" s="8" t="inlineStr">
        <is>
          <t>Off: Team 3, Team 4</t>
        </is>
      </c>
    </row>
    <row r="19" ht="15.75" customHeight="1">
      <c r="A19" s="1" t="inlineStr">
        <is>
          <t>Game 10</t>
        </is>
      </c>
      <c r="B19" s="2" t="inlineStr">
        <is>
          <t>Team 7</t>
        </is>
      </c>
      <c r="C19" s="3" t="n"/>
      <c r="D19" s="2" t="inlineStr">
        <is>
          <t>Team 3</t>
        </is>
      </c>
      <c r="E19" s="3" t="n"/>
      <c r="F19" s="4" t="n"/>
      <c r="G19" s="2" t="inlineStr">
        <is>
          <t>Team 8</t>
        </is>
      </c>
      <c r="H19" s="3" t="n"/>
      <c r="I19" s="2" t="inlineStr">
        <is>
          <t>Team 4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5</t>
        </is>
      </c>
      <c r="C20" s="11" t="n"/>
      <c r="D20" s="12" t="n"/>
      <c r="E20" s="13" t="n"/>
      <c r="F20" s="4" t="n"/>
      <c r="G20" s="6" t="inlineStr">
        <is>
          <t>Refs: Team 6</t>
        </is>
      </c>
      <c r="H20" s="11" t="n"/>
      <c r="I20" s="12" t="n"/>
      <c r="J20" s="13" t="n"/>
      <c r="K20" s="4" t="n"/>
      <c r="L20" s="8" t="inlineStr">
        <is>
          <t>Off: Team 1, Team 2</t>
        </is>
      </c>
    </row>
    <row r="21" ht="15.75" customHeight="1">
      <c r="A21" s="1" t="inlineStr">
        <is>
          <t>Game 11</t>
        </is>
      </c>
      <c r="B21" s="2" t="inlineStr">
        <is>
          <t>Team 6</t>
        </is>
      </c>
      <c r="C21" s="3" t="n"/>
      <c r="D21" s="2" t="inlineStr">
        <is>
          <t>Team 1</t>
        </is>
      </c>
      <c r="E21" s="3" t="n"/>
      <c r="F21" s="4" t="n"/>
      <c r="G21" s="2" t="inlineStr">
        <is>
          <t>Team 5</t>
        </is>
      </c>
      <c r="H21" s="3" t="n"/>
      <c r="I21" s="2" t="inlineStr">
        <is>
          <t>Team 2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3</t>
        </is>
      </c>
      <c r="C22" s="11" t="n"/>
      <c r="D22" s="12" t="n"/>
      <c r="E22" s="13" t="n"/>
      <c r="F22" s="4" t="n"/>
      <c r="G22" s="6" t="inlineStr">
        <is>
          <t>Refs: Team 4</t>
        </is>
      </c>
      <c r="H22" s="11" t="n"/>
      <c r="I22" s="12" t="n"/>
      <c r="J22" s="13" t="n"/>
      <c r="K22" s="4" t="n"/>
      <c r="L22" s="8" t="inlineStr">
        <is>
          <t>Off: Team 7, Team 8</t>
        </is>
      </c>
    </row>
    <row r="23" ht="15.75" customHeight="1">
      <c r="A23" s="1" t="inlineStr">
        <is>
          <t>Game 12</t>
        </is>
      </c>
      <c r="B23" s="2" t="inlineStr">
        <is>
          <t>Team 8</t>
        </is>
      </c>
      <c r="C23" s="3" t="n"/>
      <c r="D23" s="2" t="inlineStr">
        <is>
          <t>Team 3</t>
        </is>
      </c>
      <c r="E23" s="3" t="n"/>
      <c r="F23" s="4" t="n"/>
      <c r="G23" s="2" t="inlineStr">
        <is>
          <t>Team 7</t>
        </is>
      </c>
      <c r="H23" s="3" t="n"/>
      <c r="I23" s="2" t="inlineStr">
        <is>
          <t>Team 4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1</t>
        </is>
      </c>
      <c r="C24" s="11" t="n"/>
      <c r="D24" s="12" t="n"/>
      <c r="E24" s="13" t="n"/>
      <c r="F24" s="4" t="n"/>
      <c r="G24" s="6" t="inlineStr">
        <is>
          <t>Refs: Team 2</t>
        </is>
      </c>
      <c r="H24" s="11" t="n"/>
      <c r="I24" s="12" t="n"/>
      <c r="J24" s="13" t="n"/>
      <c r="K24" s="4" t="n"/>
      <c r="L24" s="8" t="inlineStr">
        <is>
          <t>Off: Team 5, Team 6</t>
        </is>
      </c>
    </row>
    <row r="25" ht="15.75" customHeight="1">
      <c r="A25" s="1" t="inlineStr">
        <is>
          <t>Game 13</t>
        </is>
      </c>
      <c r="B25" s="2" t="inlineStr">
        <is>
          <t>Team 6</t>
        </is>
      </c>
      <c r="C25" s="3" t="n"/>
      <c r="D25" s="2" t="inlineStr">
        <is>
          <t>Team 1</t>
        </is>
      </c>
      <c r="E25" s="3" t="n"/>
      <c r="F25" s="4" t="n"/>
      <c r="G25" s="2" t="inlineStr">
        <is>
          <t>Team 2</t>
        </is>
      </c>
      <c r="H25" s="3" t="n"/>
      <c r="I25" s="2" t="inlineStr">
        <is>
          <t>Team 5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7</t>
        </is>
      </c>
      <c r="C26" s="11" t="n"/>
      <c r="D26" s="12" t="n"/>
      <c r="E26" s="13" t="n"/>
      <c r="F26" s="4" t="n"/>
      <c r="G26" s="6" t="inlineStr">
        <is>
          <t>Refs: Team 8</t>
        </is>
      </c>
      <c r="H26" s="11" t="n"/>
      <c r="I26" s="12" t="n"/>
      <c r="J26" s="13" t="n"/>
      <c r="K26" s="4" t="n"/>
      <c r="L26" s="8" t="inlineStr">
        <is>
          <t>Off: Team 3, Team 4</t>
        </is>
      </c>
    </row>
    <row r="27" ht="15.75" customHeight="1">
      <c r="A27" s="1" t="inlineStr">
        <is>
          <t>Game 14</t>
        </is>
      </c>
      <c r="B27" s="2" t="inlineStr">
        <is>
          <t>Team 3</t>
        </is>
      </c>
      <c r="C27" s="3" t="n"/>
      <c r="D27" s="2" t="inlineStr">
        <is>
          <t>Team 8</t>
        </is>
      </c>
      <c r="E27" s="3" t="n"/>
      <c r="F27" s="4" t="n"/>
      <c r="G27" s="2" t="inlineStr">
        <is>
          <t>Team 4</t>
        </is>
      </c>
      <c r="H27" s="3" t="n"/>
      <c r="I27" s="2" t="inlineStr">
        <is>
          <t>Team 7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5</t>
        </is>
      </c>
      <c r="C28" s="11" t="n"/>
      <c r="D28" s="12" t="n"/>
      <c r="E28" s="13" t="n"/>
      <c r="F28" s="4" t="n"/>
      <c r="G28" s="6" t="inlineStr">
        <is>
          <t>Refs: Team 6</t>
        </is>
      </c>
      <c r="H28" s="11" t="n"/>
      <c r="I28" s="12" t="n"/>
      <c r="J28" s="13" t="n"/>
      <c r="K28" s="4" t="n"/>
      <c r="L28" s="8" t="inlineStr">
        <is>
          <t>Off: Team 1, Team 2</t>
        </is>
      </c>
    </row>
    <row r="29" ht="15.75" customHeight="1">
      <c r="A29" s="1" t="inlineStr">
        <is>
          <t>Game 15</t>
        </is>
      </c>
      <c r="B29" s="2" t="inlineStr">
        <is>
          <t>Team 1</t>
        </is>
      </c>
      <c r="C29" s="3" t="n"/>
      <c r="D29" s="2" t="inlineStr">
        <is>
          <t>Team 7</t>
        </is>
      </c>
      <c r="E29" s="3" t="n"/>
      <c r="F29" s="4" t="n"/>
      <c r="G29" s="2" t="inlineStr">
        <is>
          <t>Team 2</t>
        </is>
      </c>
      <c r="H29" s="3" t="n"/>
      <c r="I29" s="2" t="inlineStr">
        <is>
          <t>Team 8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3</t>
        </is>
      </c>
      <c r="C30" s="11" t="n"/>
      <c r="D30" s="12" t="n"/>
      <c r="E30" s="13" t="n"/>
      <c r="F30" s="4" t="n"/>
      <c r="G30" s="6" t="inlineStr">
        <is>
          <t>Refs: Team 4</t>
        </is>
      </c>
      <c r="H30" s="11" t="n"/>
      <c r="I30" s="12" t="n"/>
      <c r="J30" s="13" t="n"/>
      <c r="K30" s="4" t="n"/>
      <c r="L30" s="8" t="inlineStr">
        <is>
          <t>Off: Team 5, Team 6</t>
        </is>
      </c>
    </row>
    <row r="31" ht="15.75" customHeight="1">
      <c r="A31" s="1" t="inlineStr">
        <is>
          <t>Game 16</t>
        </is>
      </c>
      <c r="B31" s="2" t="inlineStr">
        <is>
          <t>Team 3</t>
        </is>
      </c>
      <c r="C31" s="3" t="n"/>
      <c r="D31" s="2" t="inlineStr">
        <is>
          <t>Team 5</t>
        </is>
      </c>
      <c r="E31" s="3" t="n"/>
      <c r="F31" s="4" t="n"/>
      <c r="G31" s="2" t="inlineStr">
        <is>
          <t>Team 4</t>
        </is>
      </c>
      <c r="H31" s="3" t="n"/>
      <c r="I31" s="2" t="inlineStr">
        <is>
          <t>Team 6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7</t>
        </is>
      </c>
      <c r="C32" s="11" t="n"/>
      <c r="D32" s="12" t="n"/>
      <c r="E32" s="13" t="n"/>
      <c r="F32" s="4" t="n"/>
      <c r="G32" s="6" t="inlineStr">
        <is>
          <t>Refs: Team 8</t>
        </is>
      </c>
      <c r="H32" s="11" t="n"/>
      <c r="I32" s="12" t="n"/>
      <c r="J32" s="13" t="n"/>
      <c r="K32" s="4" t="n"/>
      <c r="L32" s="8" t="inlineStr">
        <is>
          <t>Off: Team 1, Team 2</t>
        </is>
      </c>
    </row>
    <row r="33" ht="15.75" customHeight="1">
      <c r="A33" s="1" t="inlineStr">
        <is>
          <t>Game 17</t>
        </is>
      </c>
      <c r="B33" s="2" t="inlineStr">
        <is>
          <t>Team 7</t>
        </is>
      </c>
      <c r="C33" s="3" t="n"/>
      <c r="D33" s="2" t="inlineStr">
        <is>
          <t>Team 1</t>
        </is>
      </c>
      <c r="E33" s="3" t="n"/>
      <c r="F33" s="4" t="n"/>
      <c r="G33" s="2" t="inlineStr">
        <is>
          <t>Team 8</t>
        </is>
      </c>
      <c r="H33" s="3" t="n"/>
      <c r="I33" s="2" t="inlineStr">
        <is>
          <t>Team 2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3</t>
        </is>
      </c>
      <c r="C34" s="11" t="n"/>
      <c r="D34" s="12" t="n"/>
      <c r="E34" s="13" t="n"/>
      <c r="F34" s="4" t="n"/>
      <c r="G34" s="6" t="inlineStr">
        <is>
          <t>Refs: Team 4</t>
        </is>
      </c>
      <c r="H34" s="11" t="n"/>
      <c r="I34" s="12" t="n"/>
      <c r="J34" s="13" t="n"/>
      <c r="K34" s="4" t="n"/>
      <c r="L34" s="8" t="inlineStr">
        <is>
          <t>Off: Team 5, Team 6</t>
        </is>
      </c>
    </row>
    <row r="35" ht="15.75" customHeight="1">
      <c r="A35" s="1" t="inlineStr">
        <is>
          <t>Game 18</t>
        </is>
      </c>
      <c r="B35" s="2" t="inlineStr">
        <is>
          <t>Team 5</t>
        </is>
      </c>
      <c r="C35" s="3" t="n"/>
      <c r="D35" s="2" t="inlineStr">
        <is>
          <t>Team 3</t>
        </is>
      </c>
      <c r="E35" s="3" t="n"/>
      <c r="F35" s="4" t="n"/>
      <c r="G35" s="2" t="inlineStr">
        <is>
          <t>Team 6</t>
        </is>
      </c>
      <c r="H35" s="3" t="n"/>
      <c r="I35" s="2" t="inlineStr">
        <is>
          <t>Team 4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1</t>
        </is>
      </c>
      <c r="C36" s="11" t="n"/>
      <c r="D36" s="12" t="n"/>
      <c r="E36" s="13" t="n"/>
      <c r="F36" s="4" t="n"/>
      <c r="G36" s="6" t="inlineStr">
        <is>
          <t>Refs: Team 2</t>
        </is>
      </c>
      <c r="H36" s="11" t="n"/>
      <c r="I36" s="12" t="n"/>
      <c r="J36" s="13" t="n"/>
      <c r="K36" s="4" t="n"/>
      <c r="L36" s="8" t="inlineStr">
        <is>
          <t>Off: Team 7, Team 8</t>
        </is>
      </c>
    </row>
    <row r="37" ht="15.75" customHeight="1">
      <c r="A37" s="1" t="inlineStr">
        <is>
          <t>Game 19</t>
        </is>
      </c>
      <c r="B37" s="2" t="inlineStr">
        <is>
          <t>Team 8</t>
        </is>
      </c>
      <c r="C37" s="3" t="n"/>
      <c r="D37" s="2" t="inlineStr">
        <is>
          <t>Team 1</t>
        </is>
      </c>
      <c r="E37" s="3" t="n"/>
      <c r="F37" s="4" t="n"/>
      <c r="G37" s="2" t="inlineStr">
        <is>
          <t>Team 2</t>
        </is>
      </c>
      <c r="H37" s="3" t="n"/>
      <c r="I37" s="2" t="inlineStr">
        <is>
          <t>Team 7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5</t>
        </is>
      </c>
      <c r="C38" s="11" t="n"/>
      <c r="D38" s="12" t="n"/>
      <c r="E38" s="13" t="n"/>
      <c r="F38" s="4" t="n"/>
      <c r="G38" s="6" t="inlineStr">
        <is>
          <t>Refs: Team 6</t>
        </is>
      </c>
      <c r="H38" s="11" t="n"/>
      <c r="I38" s="12" t="n"/>
      <c r="J38" s="13" t="n"/>
      <c r="K38" s="4" t="n"/>
      <c r="L38" s="8" t="inlineStr">
        <is>
          <t>Off: Team 3, Team 4</t>
        </is>
      </c>
    </row>
    <row r="39" ht="15.75" customHeight="1">
      <c r="A39" s="1" t="inlineStr">
        <is>
          <t>Game 20</t>
        </is>
      </c>
      <c r="B39" s="2" t="inlineStr">
        <is>
          <t>Team 3</t>
        </is>
      </c>
      <c r="C39" s="3" t="n"/>
      <c r="D39" s="2" t="inlineStr">
        <is>
          <t>Team 6</t>
        </is>
      </c>
      <c r="E39" s="3" t="n"/>
      <c r="F39" s="4" t="n"/>
      <c r="G39" s="2" t="inlineStr">
        <is>
          <t>Team 4</t>
        </is>
      </c>
      <c r="H39" s="3" t="n"/>
      <c r="I39" s="2" t="inlineStr">
        <is>
          <t>Team 5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7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1</t>
        </is>
      </c>
      <c r="C1" s="3" t="n"/>
      <c r="D1" s="2" t="inlineStr">
        <is>
          <t>Team 2</t>
        </is>
      </c>
      <c r="E1" s="3" t="n"/>
      <c r="F1" s="4" t="n"/>
      <c r="G1" s="2" t="inlineStr">
        <is>
          <t>Team 4</t>
        </is>
      </c>
      <c r="H1" s="3" t="n"/>
      <c r="I1" s="2" t="inlineStr">
        <is>
          <t>Team 3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5</t>
        </is>
      </c>
      <c r="C3" s="3" t="n"/>
      <c r="D3" s="2" t="inlineStr">
        <is>
          <t>Team 6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1</t>
        </is>
      </c>
      <c r="C5" s="3" t="n"/>
      <c r="D5" s="2" t="inlineStr">
        <is>
          <t>Team 2</t>
        </is>
      </c>
      <c r="E5" s="3" t="n"/>
      <c r="F5" s="4" t="n"/>
      <c r="G5" s="2" t="inlineStr">
        <is>
          <t>Team 3</t>
        </is>
      </c>
      <c r="H5" s="3" t="n"/>
      <c r="I5" s="2" t="inlineStr">
        <is>
          <t>Team 5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4</t>
        </is>
      </c>
      <c r="C6" s="11" t="n"/>
      <c r="D6" s="12" t="n"/>
      <c r="E6" s="13" t="n"/>
      <c r="F6" s="4" t="n"/>
      <c r="G6" s="6" t="inlineStr">
        <is>
          <t>Refs: Team 7</t>
        </is>
      </c>
      <c r="H6" s="11" t="n"/>
      <c r="I6" s="12" t="n"/>
      <c r="J6" s="13" t="n"/>
      <c r="K6" s="4" t="n"/>
      <c r="L6" s="8" t="inlineStr">
        <is>
          <t>Off: Team 6, Team 8</t>
        </is>
      </c>
    </row>
    <row r="7" ht="15.75" customHeight="1">
      <c r="A7" s="1" t="inlineStr">
        <is>
          <t>Game 04</t>
        </is>
      </c>
      <c r="B7" s="2" t="inlineStr">
        <is>
          <t>Team 6</t>
        </is>
      </c>
      <c r="C7" s="3" t="n"/>
      <c r="D7" s="2" t="inlineStr">
        <is>
          <t>Team 4</t>
        </is>
      </c>
      <c r="E7" s="3" t="n"/>
      <c r="F7" s="4" t="n"/>
      <c r="G7" s="2" t="inlineStr">
        <is>
          <t>Team 8</t>
        </is>
      </c>
      <c r="H7" s="3" t="n"/>
      <c r="I7" s="2" t="inlineStr">
        <is>
          <t>Team 7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1</t>
        </is>
      </c>
      <c r="H8" s="11" t="n"/>
      <c r="I8" s="12" t="n"/>
      <c r="J8" s="13" t="n"/>
      <c r="K8" s="4" t="n"/>
      <c r="L8" s="8" t="inlineStr">
        <is>
          <t>Off: Team 2, Team 5</t>
        </is>
      </c>
    </row>
    <row r="9" ht="15.75" customHeight="1">
      <c r="A9" s="1" t="inlineStr">
        <is>
          <t>Game 05</t>
        </is>
      </c>
      <c r="B9" s="2" t="inlineStr">
        <is>
          <t>Team 3</t>
        </is>
      </c>
      <c r="C9" s="3" t="n"/>
      <c r="D9" s="2" t="inlineStr">
        <is>
          <t>Team 1</t>
        </is>
      </c>
      <c r="E9" s="3" t="n"/>
      <c r="F9" s="4" t="n"/>
      <c r="G9" s="2" t="inlineStr">
        <is>
          <t>Team 2</t>
        </is>
      </c>
      <c r="H9" s="3" t="n"/>
      <c r="I9" s="2" t="inlineStr">
        <is>
          <t>Team 4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8</t>
        </is>
      </c>
      <c r="C10" s="11" t="n"/>
      <c r="D10" s="12" t="n"/>
      <c r="E10" s="13" t="n"/>
      <c r="F10" s="4" t="n"/>
      <c r="G10" s="6" t="inlineStr">
        <is>
          <t>Refs: Team 5</t>
        </is>
      </c>
      <c r="H10" s="11" t="n"/>
      <c r="I10" s="12" t="n"/>
      <c r="J10" s="13" t="n"/>
      <c r="K10" s="4" t="n"/>
      <c r="L10" s="8" t="inlineStr">
        <is>
          <t>Off: Team 6, Team 7</t>
        </is>
      </c>
    </row>
    <row r="11" ht="15.75" customHeight="1">
      <c r="A11" s="1" t="inlineStr">
        <is>
          <t>Game 06</t>
        </is>
      </c>
      <c r="B11" s="2" t="inlineStr">
        <is>
          <t>Team 5</t>
        </is>
      </c>
      <c r="C11" s="3" t="n"/>
      <c r="D11" s="2" t="inlineStr">
        <is>
          <t>Team 7</t>
        </is>
      </c>
      <c r="E11" s="3" t="n"/>
      <c r="F11" s="4" t="n"/>
      <c r="G11" s="2" t="inlineStr">
        <is>
          <t>Team 6</t>
        </is>
      </c>
      <c r="H11" s="3" t="n"/>
      <c r="I11" s="2" t="inlineStr">
        <is>
          <t>Team 8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2</t>
        </is>
      </c>
      <c r="C12" s="11" t="n"/>
      <c r="D12" s="12" t="n"/>
      <c r="E12" s="13" t="n"/>
      <c r="F12" s="4" t="n"/>
      <c r="G12" s="6" t="inlineStr">
        <is>
          <t>Refs: Team 3</t>
        </is>
      </c>
      <c r="H12" s="11" t="n"/>
      <c r="I12" s="12" t="n"/>
      <c r="J12" s="13" t="n"/>
      <c r="K12" s="4" t="n"/>
      <c r="L12" s="8" t="inlineStr">
        <is>
          <t>Off: Team 1, Team 4</t>
        </is>
      </c>
    </row>
    <row r="13" ht="15.75" customHeight="1">
      <c r="A13" s="1" t="inlineStr">
        <is>
          <t>Game 07</t>
        </is>
      </c>
      <c r="B13" s="2" t="inlineStr">
        <is>
          <t>Team 1</t>
        </is>
      </c>
      <c r="C13" s="3" t="n"/>
      <c r="D13" s="2" t="inlineStr">
        <is>
          <t>Team 3</t>
        </is>
      </c>
      <c r="E13" s="3" t="n"/>
      <c r="F13" s="4" t="n"/>
      <c r="G13" s="2" t="inlineStr">
        <is>
          <t>Team 5</t>
        </is>
      </c>
      <c r="H13" s="3" t="n"/>
      <c r="I13" s="2" t="inlineStr">
        <is>
          <t>Team 2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4</t>
        </is>
      </c>
      <c r="C14" s="11" t="n"/>
      <c r="D14" s="12" t="n"/>
      <c r="E14" s="13" t="n"/>
      <c r="F14" s="4" t="n"/>
      <c r="G14" s="6" t="inlineStr">
        <is>
          <t>Refs: Team 6</t>
        </is>
      </c>
      <c r="H14" s="11" t="n"/>
      <c r="I14" s="12" t="n"/>
      <c r="J14" s="13" t="n"/>
      <c r="K14" s="4" t="n"/>
      <c r="L14" s="8" t="inlineStr">
        <is>
          <t>Off: Team 7, Team 8</t>
        </is>
      </c>
    </row>
    <row r="15" ht="15.75" customHeight="1">
      <c r="A15" s="1" t="inlineStr">
        <is>
          <t>Game 08</t>
        </is>
      </c>
      <c r="B15" s="2" t="inlineStr">
        <is>
          <t>Team 4</t>
        </is>
      </c>
      <c r="C15" s="3" t="n"/>
      <c r="D15" s="2" t="inlineStr">
        <is>
          <t>Team 8</t>
        </is>
      </c>
      <c r="E15" s="3" t="n"/>
      <c r="F15" s="4" t="n"/>
      <c r="G15" s="2" t="inlineStr">
        <is>
          <t>Team 7</t>
        </is>
      </c>
      <c r="H15" s="3" t="n"/>
      <c r="I15" s="2" t="inlineStr">
        <is>
          <t>Team 6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1</t>
        </is>
      </c>
      <c r="C16" s="11" t="n"/>
      <c r="D16" s="12" t="n"/>
      <c r="E16" s="13" t="n"/>
      <c r="F16" s="4" t="n"/>
      <c r="G16" s="6" t="inlineStr">
        <is>
          <t>Refs: Team 2</t>
        </is>
      </c>
      <c r="H16" s="11" t="n"/>
      <c r="I16" s="12" t="n"/>
      <c r="J16" s="13" t="n"/>
      <c r="K16" s="4" t="n"/>
      <c r="L16" s="8" t="inlineStr">
        <is>
          <t>Off: Team 3, Team 5</t>
        </is>
      </c>
    </row>
    <row r="17" ht="15.75" customHeight="1">
      <c r="A17" s="1" t="inlineStr">
        <is>
          <t>Game 09</t>
        </is>
      </c>
      <c r="B17" s="2" t="inlineStr">
        <is>
          <t>Team 1</t>
        </is>
      </c>
      <c r="C17" s="3" t="n"/>
      <c r="D17" s="2" t="inlineStr">
        <is>
          <t>Team 4</t>
        </is>
      </c>
      <c r="E17" s="3" t="n"/>
      <c r="F17" s="4" t="n"/>
      <c r="G17" s="2" t="inlineStr">
        <is>
          <t>Team 2</t>
        </is>
      </c>
      <c r="H17" s="3" t="n"/>
      <c r="I17" s="2" t="inlineStr">
        <is>
          <t>Team 3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7</t>
        </is>
      </c>
      <c r="C18" s="11" t="n"/>
      <c r="D18" s="12" t="n"/>
      <c r="E18" s="13" t="n"/>
      <c r="F18" s="4" t="n"/>
      <c r="G18" s="6" t="inlineStr">
        <is>
          <t>Refs: Team 8</t>
        </is>
      </c>
      <c r="H18" s="11" t="n"/>
      <c r="I18" s="12" t="n"/>
      <c r="J18" s="13" t="n"/>
      <c r="K18" s="4" t="n"/>
      <c r="L18" s="8" t="inlineStr">
        <is>
          <t>Off: Team 5, Team 6</t>
        </is>
      </c>
    </row>
    <row r="19" ht="15.75" customHeight="1">
      <c r="A19" s="1" t="inlineStr">
        <is>
          <t>Game 10</t>
        </is>
      </c>
      <c r="B19" s="2" t="inlineStr">
        <is>
          <t>Team 6</t>
        </is>
      </c>
      <c r="C19" s="3" t="n"/>
      <c r="D19" s="2" t="inlineStr">
        <is>
          <t>Team 1</t>
        </is>
      </c>
      <c r="E19" s="3" t="n"/>
      <c r="F19" s="4" t="n"/>
      <c r="G19" s="2" t="inlineStr">
        <is>
          <t>Team 5</t>
        </is>
      </c>
      <c r="H19" s="3" t="n"/>
      <c r="I19" s="2" t="inlineStr">
        <is>
          <t>Team 8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3</t>
        </is>
      </c>
      <c r="C20" s="11" t="n"/>
      <c r="D20" s="12" t="n"/>
      <c r="E20" s="13" t="n"/>
      <c r="F20" s="4" t="n"/>
      <c r="G20" s="6" t="inlineStr">
        <is>
          <t>Refs: Team 4</t>
        </is>
      </c>
      <c r="H20" s="11" t="n"/>
      <c r="I20" s="12" t="n"/>
      <c r="J20" s="13" t="n"/>
      <c r="K20" s="4" t="n"/>
      <c r="L20" s="8" t="inlineStr">
        <is>
          <t>Off: Team 2, Team 7</t>
        </is>
      </c>
    </row>
    <row r="21" ht="15.75" customHeight="1">
      <c r="A21" s="1" t="inlineStr">
        <is>
          <t>Game 11</t>
        </is>
      </c>
      <c r="B21" s="2" t="inlineStr">
        <is>
          <t>Team 3</t>
        </is>
      </c>
      <c r="C21" s="3" t="n"/>
      <c r="D21" s="2" t="inlineStr">
        <is>
          <t>Team 2</t>
        </is>
      </c>
      <c r="E21" s="3" t="n"/>
      <c r="F21" s="4" t="n"/>
      <c r="G21" s="2" t="inlineStr">
        <is>
          <t>Team 4</t>
        </is>
      </c>
      <c r="H21" s="3" t="n"/>
      <c r="I21" s="2" t="inlineStr">
        <is>
          <t>Team 7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5</t>
        </is>
      </c>
      <c r="C22" s="11" t="n"/>
      <c r="D22" s="12" t="n"/>
      <c r="E22" s="13" t="n"/>
      <c r="F22" s="4" t="n"/>
      <c r="G22" s="6" t="inlineStr">
        <is>
          <t>Refs: Team 6</t>
        </is>
      </c>
      <c r="H22" s="11" t="n"/>
      <c r="I22" s="12" t="n"/>
      <c r="J22" s="13" t="n"/>
      <c r="K22" s="4" t="n"/>
      <c r="L22" s="8" t="inlineStr">
        <is>
          <t>Off: Team 1, Team 8</t>
        </is>
      </c>
    </row>
    <row r="23" ht="15.75" customHeight="1">
      <c r="A23" s="1" t="inlineStr">
        <is>
          <t>Game 12</t>
        </is>
      </c>
      <c r="B23" s="2" t="inlineStr">
        <is>
          <t>Team 7</t>
        </is>
      </c>
      <c r="C23" s="3" t="n"/>
      <c r="D23" s="2" t="inlineStr">
        <is>
          <t>Team 1</t>
        </is>
      </c>
      <c r="E23" s="3" t="n"/>
      <c r="F23" s="4" t="n"/>
      <c r="G23" s="2" t="inlineStr">
        <is>
          <t>Team 6</t>
        </is>
      </c>
      <c r="H23" s="3" t="n"/>
      <c r="I23" s="2" t="inlineStr">
        <is>
          <t>Team 5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8</t>
        </is>
      </c>
      <c r="C24" s="11" t="n"/>
      <c r="D24" s="12" t="n"/>
      <c r="E24" s="13" t="n"/>
      <c r="F24" s="4" t="n"/>
      <c r="G24" s="6" t="inlineStr">
        <is>
          <t>Refs: Team 2</t>
        </is>
      </c>
      <c r="H24" s="11" t="n"/>
      <c r="I24" s="12" t="n"/>
      <c r="J24" s="13" t="n"/>
      <c r="K24" s="4" t="n"/>
      <c r="L24" s="8" t="inlineStr">
        <is>
          <t>Off: Team 3, Team 4</t>
        </is>
      </c>
    </row>
    <row r="25" ht="15.75" customHeight="1">
      <c r="A25" s="1" t="inlineStr">
        <is>
          <t>Game 13</t>
        </is>
      </c>
      <c r="B25" s="2" t="inlineStr">
        <is>
          <t>Team 2</t>
        </is>
      </c>
      <c r="C25" s="3" t="n"/>
      <c r="D25" s="2" t="inlineStr">
        <is>
          <t>Team 6</t>
        </is>
      </c>
      <c r="E25" s="3" t="n"/>
      <c r="F25" s="4" t="n"/>
      <c r="G25" s="2" t="inlineStr">
        <is>
          <t>Team 8</t>
        </is>
      </c>
      <c r="H25" s="3" t="n"/>
      <c r="I25" s="2" t="inlineStr">
        <is>
          <t>Team 3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7</t>
        </is>
      </c>
      <c r="C26" s="11" t="n"/>
      <c r="D26" s="12" t="n"/>
      <c r="E26" s="13" t="n"/>
      <c r="F26" s="4" t="n"/>
      <c r="G26" s="6" t="inlineStr">
        <is>
          <t>Refs: Team 1</t>
        </is>
      </c>
      <c r="H26" s="11" t="n"/>
      <c r="I26" s="12" t="n"/>
      <c r="J26" s="13" t="n"/>
      <c r="K26" s="4" t="n"/>
      <c r="L26" s="8" t="inlineStr">
        <is>
          <t>Off: Team 4, Team 5</t>
        </is>
      </c>
    </row>
    <row r="27" ht="15.75" customHeight="1">
      <c r="A27" s="1" t="inlineStr">
        <is>
          <t>Game 14</t>
        </is>
      </c>
      <c r="B27" s="2" t="inlineStr">
        <is>
          <t>Team 7</t>
        </is>
      </c>
      <c r="C27" s="3" t="n"/>
      <c r="D27" s="2" t="inlineStr">
        <is>
          <t>Team 4</t>
        </is>
      </c>
      <c r="E27" s="3" t="n"/>
      <c r="F27" s="4" t="n"/>
      <c r="G27" s="2" t="inlineStr">
        <is>
          <t>Team 8</t>
        </is>
      </c>
      <c r="H27" s="3" t="n"/>
      <c r="I27" s="2" t="inlineStr">
        <is>
          <t>Team 5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3</t>
        </is>
      </c>
      <c r="C28" s="11" t="n"/>
      <c r="D28" s="12" t="n"/>
      <c r="E28" s="13" t="n"/>
      <c r="F28" s="4" t="n"/>
      <c r="G28" s="6" t="inlineStr">
        <is>
          <t>Refs: Team 6</t>
        </is>
      </c>
      <c r="H28" s="11" t="n"/>
      <c r="I28" s="12" t="n"/>
      <c r="J28" s="13" t="n"/>
      <c r="K28" s="4" t="n"/>
      <c r="L28" s="8" t="inlineStr">
        <is>
          <t>Off: Team 1, Team 2</t>
        </is>
      </c>
    </row>
    <row r="29" ht="15.75" customHeight="1">
      <c r="A29" s="1" t="inlineStr">
        <is>
          <t>Game 15</t>
        </is>
      </c>
      <c r="B29" s="2" t="inlineStr">
        <is>
          <t>Team 1</t>
        </is>
      </c>
      <c r="C29" s="3" t="n"/>
      <c r="D29" s="2" t="inlineStr">
        <is>
          <t>Team 5</t>
        </is>
      </c>
      <c r="E29" s="3" t="n"/>
      <c r="F29" s="4" t="n"/>
      <c r="G29" s="2" t="inlineStr">
        <is>
          <t>Team 2</t>
        </is>
      </c>
      <c r="H29" s="3" t="n"/>
      <c r="I29" s="2" t="inlineStr">
        <is>
          <t>Team 7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4</t>
        </is>
      </c>
      <c r="C30" s="11" t="n"/>
      <c r="D30" s="12" t="n"/>
      <c r="E30" s="13" t="n"/>
      <c r="F30" s="4" t="n"/>
      <c r="G30" s="6" t="inlineStr">
        <is>
          <t>Refs: Team 8</t>
        </is>
      </c>
      <c r="H30" s="11" t="n"/>
      <c r="I30" s="12" t="n"/>
      <c r="J30" s="13" t="n"/>
      <c r="K30" s="4" t="n"/>
      <c r="L30" s="8" t="inlineStr">
        <is>
          <t>Off: Team 3, Team 6</t>
        </is>
      </c>
    </row>
    <row r="31" ht="15.75" customHeight="1">
      <c r="A31" s="1" t="inlineStr">
        <is>
          <t>Game 16</t>
        </is>
      </c>
      <c r="B31" s="2" t="inlineStr">
        <is>
          <t>Team 8</t>
        </is>
      </c>
      <c r="C31" s="3" t="n"/>
      <c r="D31" s="2" t="inlineStr">
        <is>
          <t>Team 1</t>
        </is>
      </c>
      <c r="E31" s="3" t="n"/>
      <c r="F31" s="4" t="n"/>
      <c r="G31" s="2" t="inlineStr">
        <is>
          <t>Team 3</t>
        </is>
      </c>
      <c r="H31" s="3" t="n"/>
      <c r="I31" s="2" t="inlineStr">
        <is>
          <t>Team 6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5</t>
        </is>
      </c>
      <c r="C32" s="11" t="n"/>
      <c r="D32" s="12" t="n"/>
      <c r="E32" s="13" t="n"/>
      <c r="F32" s="4" t="n"/>
      <c r="G32" s="6" t="inlineStr">
        <is>
          <t>Refs: Team 7</t>
        </is>
      </c>
      <c r="H32" s="11" t="n"/>
      <c r="I32" s="12" t="n"/>
      <c r="J32" s="13" t="n"/>
      <c r="K32" s="4" t="n"/>
      <c r="L32" s="8" t="inlineStr">
        <is>
          <t>Off: Team 2, Team 4</t>
        </is>
      </c>
    </row>
    <row r="33" ht="15.75" customHeight="1">
      <c r="A33" s="1" t="inlineStr">
        <is>
          <t>Game 17</t>
        </is>
      </c>
      <c r="B33" s="2" t="inlineStr">
        <is>
          <t>Team 7</t>
        </is>
      </c>
      <c r="C33" s="3" t="n"/>
      <c r="D33" s="2" t="inlineStr">
        <is>
          <t>Team 2</t>
        </is>
      </c>
      <c r="E33" s="3" t="n"/>
      <c r="F33" s="4" t="n"/>
      <c r="G33" s="2" t="inlineStr">
        <is>
          <t>Team 4</t>
        </is>
      </c>
      <c r="H33" s="3" t="n"/>
      <c r="I33" s="2" t="inlineStr">
        <is>
          <t>Team 5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1</t>
        </is>
      </c>
      <c r="C34" s="11" t="n"/>
      <c r="D34" s="12" t="n"/>
      <c r="E34" s="13" t="n"/>
      <c r="F34" s="4" t="n"/>
      <c r="G34" s="6" t="inlineStr">
        <is>
          <t>Refs: Team 3</t>
        </is>
      </c>
      <c r="H34" s="11" t="n"/>
      <c r="I34" s="12" t="n"/>
      <c r="J34" s="13" t="n"/>
      <c r="K34" s="4" t="n"/>
      <c r="L34" s="8" t="inlineStr">
        <is>
          <t>Off: Team 6, Team 8</t>
        </is>
      </c>
    </row>
    <row r="35" ht="15.75" customHeight="1">
      <c r="A35" s="1" t="inlineStr">
        <is>
          <t>Game 18</t>
        </is>
      </c>
      <c r="B35" s="2" t="inlineStr">
        <is>
          <t>Team 8</t>
        </is>
      </c>
      <c r="C35" s="3" t="n"/>
      <c r="D35" s="2" t="inlineStr">
        <is>
          <t>Team 1</t>
        </is>
      </c>
      <c r="E35" s="3" t="n"/>
      <c r="F35" s="4" t="n"/>
      <c r="G35" s="2" t="inlineStr">
        <is>
          <t>Team 6</t>
        </is>
      </c>
      <c r="H35" s="3" t="n"/>
      <c r="I35" s="2" t="inlineStr">
        <is>
          <t>Team 3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2</t>
        </is>
      </c>
      <c r="C36" s="11" t="n"/>
      <c r="D36" s="12" t="n"/>
      <c r="E36" s="13" t="n"/>
      <c r="F36" s="4" t="n"/>
      <c r="G36" s="6" t="inlineStr">
        <is>
          <t>Refs: Team 4</t>
        </is>
      </c>
      <c r="H36" s="11" t="n"/>
      <c r="I36" s="12" t="n"/>
      <c r="J36" s="13" t="n"/>
      <c r="K36" s="4" t="n"/>
      <c r="L36" s="8" t="inlineStr">
        <is>
          <t>Off: Team 5, Team 7</t>
        </is>
      </c>
    </row>
    <row r="37" ht="15.75" customHeight="1">
      <c r="A37" s="1" t="inlineStr">
        <is>
          <t>Game 19</t>
        </is>
      </c>
      <c r="B37" s="2" t="inlineStr">
        <is>
          <t>Team 2</t>
        </is>
      </c>
      <c r="C37" s="3" t="n"/>
      <c r="D37" s="2" t="inlineStr">
        <is>
          <t>Team 8</t>
        </is>
      </c>
      <c r="E37" s="3" t="n"/>
      <c r="F37" s="4" t="n"/>
      <c r="G37" s="2" t="inlineStr">
        <is>
          <t>Team 5</t>
        </is>
      </c>
      <c r="H37" s="3" t="n"/>
      <c r="I37" s="2" t="inlineStr">
        <is>
          <t>Team 4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6</t>
        </is>
      </c>
      <c r="C38" s="11" t="n"/>
      <c r="D38" s="12" t="n"/>
      <c r="E38" s="13" t="n"/>
      <c r="F38" s="4" t="n"/>
      <c r="G38" s="6" t="inlineStr">
        <is>
          <t>Refs: Team 7</t>
        </is>
      </c>
      <c r="H38" s="11" t="n"/>
      <c r="I38" s="12" t="n"/>
      <c r="J38" s="13" t="n"/>
      <c r="K38" s="4" t="n"/>
      <c r="L38" s="8" t="inlineStr">
        <is>
          <t>Off: Team 1, Team 3</t>
        </is>
      </c>
    </row>
    <row r="39" ht="15.75" customHeight="1">
      <c r="A39" s="1" t="inlineStr">
        <is>
          <t>Game 20</t>
        </is>
      </c>
      <c r="B39" s="2" t="inlineStr">
        <is>
          <t>Team 3</t>
        </is>
      </c>
      <c r="C39" s="3" t="n"/>
      <c r="D39" s="2" t="inlineStr">
        <is>
          <t>Team 7</t>
        </is>
      </c>
      <c r="E39" s="3" t="n"/>
      <c r="F39" s="4" t="n"/>
      <c r="G39" s="2" t="inlineStr">
        <is>
          <t>Team 4</t>
        </is>
      </c>
      <c r="H39" s="3" t="n"/>
      <c r="I39" s="2" t="inlineStr">
        <is>
          <t>Team 6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5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2</t>
        </is>
      </c>
      <c r="C1" s="3" t="n"/>
      <c r="D1" s="2" t="inlineStr">
        <is>
          <t>Team 1</t>
        </is>
      </c>
      <c r="E1" s="3" t="n"/>
      <c r="F1" s="4" t="n"/>
      <c r="G1" s="2" t="inlineStr">
        <is>
          <t>Team 3</t>
        </is>
      </c>
      <c r="H1" s="3" t="n"/>
      <c r="I1" s="2" t="inlineStr">
        <is>
          <t>Team 4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5</t>
        </is>
      </c>
      <c r="C3" s="3" t="n"/>
      <c r="D3" s="2" t="inlineStr">
        <is>
          <t>Team 6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1</t>
        </is>
      </c>
      <c r="C5" s="3" t="n"/>
      <c r="D5" s="2" t="inlineStr">
        <is>
          <t>Team 3</t>
        </is>
      </c>
      <c r="E5" s="3" t="n"/>
      <c r="F5" s="4" t="n"/>
      <c r="G5" s="2" t="inlineStr">
        <is>
          <t>Team 2</t>
        </is>
      </c>
      <c r="H5" s="3" t="n"/>
      <c r="I5" s="2" t="inlineStr">
        <is>
          <t>Team 4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7</t>
        </is>
      </c>
      <c r="C6" s="11" t="n"/>
      <c r="D6" s="12" t="n"/>
      <c r="E6" s="13" t="n"/>
      <c r="F6" s="4" t="n"/>
      <c r="G6" s="6" t="inlineStr">
        <is>
          <t>Refs: Team 8</t>
        </is>
      </c>
      <c r="H6" s="11" t="n"/>
      <c r="I6" s="12" t="n"/>
      <c r="J6" s="13" t="n"/>
      <c r="K6" s="4" t="n"/>
      <c r="L6" s="8" t="inlineStr">
        <is>
          <t>Off: Team 5, Team 6</t>
        </is>
      </c>
    </row>
    <row r="7" ht="15.75" customHeight="1">
      <c r="A7" s="1" t="inlineStr">
        <is>
          <t>Game 04</t>
        </is>
      </c>
      <c r="B7" s="2" t="inlineStr">
        <is>
          <t>Team 7</t>
        </is>
      </c>
      <c r="C7" s="3" t="n"/>
      <c r="D7" s="2" t="inlineStr">
        <is>
          <t>Team 5</t>
        </is>
      </c>
      <c r="E7" s="3" t="n"/>
      <c r="F7" s="4" t="n"/>
      <c r="G7" s="2" t="inlineStr">
        <is>
          <t>Team 6</t>
        </is>
      </c>
      <c r="H7" s="3" t="n"/>
      <c r="I7" s="2" t="inlineStr">
        <is>
          <t>Team 8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4</t>
        </is>
      </c>
      <c r="H8" s="11" t="n"/>
      <c r="I8" s="12" t="n"/>
      <c r="J8" s="13" t="n"/>
      <c r="K8" s="4" t="n"/>
      <c r="L8" s="8" t="inlineStr">
        <is>
          <t>Off: Team 1, Team 2</t>
        </is>
      </c>
    </row>
    <row r="9" ht="15.75" customHeight="1">
      <c r="A9" s="1" t="inlineStr">
        <is>
          <t>Game 05</t>
        </is>
      </c>
      <c r="B9" s="2" t="inlineStr">
        <is>
          <t>Team 4</t>
        </is>
      </c>
      <c r="C9" s="3" t="n"/>
      <c r="D9" s="2" t="inlineStr">
        <is>
          <t>Team 1</t>
        </is>
      </c>
      <c r="E9" s="3" t="n"/>
      <c r="F9" s="4" t="n"/>
      <c r="G9" s="2" t="inlineStr">
        <is>
          <t>Team 2</t>
        </is>
      </c>
      <c r="H9" s="3" t="n"/>
      <c r="I9" s="2" t="inlineStr">
        <is>
          <t>Team 3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5</t>
        </is>
      </c>
      <c r="C10" s="11" t="n"/>
      <c r="D10" s="12" t="n"/>
      <c r="E10" s="13" t="n"/>
      <c r="F10" s="4" t="n"/>
      <c r="G10" s="6" t="inlineStr">
        <is>
          <t>Refs: Team 6</t>
        </is>
      </c>
      <c r="H10" s="11" t="n"/>
      <c r="I10" s="12" t="n"/>
      <c r="J10" s="13" t="n"/>
      <c r="K10" s="4" t="n"/>
      <c r="L10" s="8" t="inlineStr">
        <is>
          <t>Off: Team 7, Team 8</t>
        </is>
      </c>
    </row>
    <row r="11" ht="15.75" customHeight="1">
      <c r="A11" s="1" t="inlineStr">
        <is>
          <t>Game 06</t>
        </is>
      </c>
      <c r="B11" s="2" t="inlineStr">
        <is>
          <t>Team 5</t>
        </is>
      </c>
      <c r="C11" s="3" t="n"/>
      <c r="D11" s="2" t="inlineStr">
        <is>
          <t>Team 8</t>
        </is>
      </c>
      <c r="E11" s="3" t="n"/>
      <c r="F11" s="4" t="n"/>
      <c r="G11" s="2" t="inlineStr">
        <is>
          <t>Team 7</t>
        </is>
      </c>
      <c r="H11" s="3" t="n"/>
      <c r="I11" s="2" t="inlineStr">
        <is>
          <t>Team 6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1</t>
        </is>
      </c>
      <c r="C12" s="11" t="n"/>
      <c r="D12" s="12" t="n"/>
      <c r="E12" s="13" t="n"/>
      <c r="F12" s="4" t="n"/>
      <c r="G12" s="6" t="inlineStr">
        <is>
          <t>Refs: Team 2</t>
        </is>
      </c>
      <c r="H12" s="11" t="n"/>
      <c r="I12" s="12" t="n"/>
      <c r="J12" s="13" t="n"/>
      <c r="K12" s="4" t="n"/>
      <c r="L12" s="8" t="inlineStr">
        <is>
          <t>Off: Team 3, Team 4</t>
        </is>
      </c>
    </row>
    <row r="13" ht="15.75" customHeight="1">
      <c r="A13" s="1" t="inlineStr">
        <is>
          <t>Game 07</t>
        </is>
      </c>
      <c r="B13" s="2" t="inlineStr">
        <is>
          <t>Team 1</t>
        </is>
      </c>
      <c r="C13" s="3" t="n"/>
      <c r="D13" s="2" t="inlineStr">
        <is>
          <t>Team 4</t>
        </is>
      </c>
      <c r="E13" s="3" t="n"/>
      <c r="F13" s="4" t="n"/>
      <c r="G13" s="2" t="inlineStr">
        <is>
          <t>Team 5</t>
        </is>
      </c>
      <c r="H13" s="3" t="n"/>
      <c r="I13" s="2" t="inlineStr">
        <is>
          <t>Team 2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3</t>
        </is>
      </c>
      <c r="C14" s="11" t="n"/>
      <c r="D14" s="12" t="n"/>
      <c r="E14" s="13" t="n"/>
      <c r="F14" s="4" t="n"/>
      <c r="G14" s="6" t="inlineStr">
        <is>
          <t>Refs: Team 7</t>
        </is>
      </c>
      <c r="H14" s="11" t="n"/>
      <c r="I14" s="12" t="n"/>
      <c r="J14" s="13" t="n"/>
      <c r="K14" s="4" t="n"/>
      <c r="L14" s="8" t="inlineStr">
        <is>
          <t>Off: Team 6, Team 8</t>
        </is>
      </c>
    </row>
    <row r="15" ht="15.75" customHeight="1">
      <c r="A15" s="1" t="inlineStr">
        <is>
          <t>Game 08</t>
        </is>
      </c>
      <c r="B15" s="2" t="inlineStr">
        <is>
          <t>Team 3</t>
        </is>
      </c>
      <c r="C15" s="3" t="n"/>
      <c r="D15" s="2" t="inlineStr">
        <is>
          <t>Team 7</t>
        </is>
      </c>
      <c r="E15" s="3" t="n"/>
      <c r="F15" s="4" t="n"/>
      <c r="G15" s="2" t="inlineStr">
        <is>
          <t>Team 8</t>
        </is>
      </c>
      <c r="H15" s="3" t="n"/>
      <c r="I15" s="2" t="inlineStr">
        <is>
          <t>Team 6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4</t>
        </is>
      </c>
      <c r="C16" s="11" t="n"/>
      <c r="D16" s="12" t="n"/>
      <c r="E16" s="13" t="n"/>
      <c r="F16" s="4" t="n"/>
      <c r="G16" s="6" t="inlineStr">
        <is>
          <t>Refs: Team 1</t>
        </is>
      </c>
      <c r="H16" s="11" t="n"/>
      <c r="I16" s="12" t="n"/>
      <c r="J16" s="13" t="n"/>
      <c r="K16" s="4" t="n"/>
      <c r="L16" s="8" t="inlineStr">
        <is>
          <t>Off: Team 2, Team 5</t>
        </is>
      </c>
    </row>
    <row r="17" ht="15.75" customHeight="1">
      <c r="A17" s="1" t="inlineStr">
        <is>
          <t>Game 09</t>
        </is>
      </c>
      <c r="B17" s="2" t="inlineStr">
        <is>
          <t>Team 1</t>
        </is>
      </c>
      <c r="C17" s="3" t="n"/>
      <c r="D17" s="2" t="inlineStr">
        <is>
          <t>Team 5</t>
        </is>
      </c>
      <c r="E17" s="3" t="n"/>
      <c r="F17" s="4" t="n"/>
      <c r="G17" s="2" t="inlineStr">
        <is>
          <t>Team 4</t>
        </is>
      </c>
      <c r="H17" s="3" t="n"/>
      <c r="I17" s="2" t="inlineStr">
        <is>
          <t>Team 2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8</t>
        </is>
      </c>
      <c r="C18" s="11" t="n"/>
      <c r="D18" s="12" t="n"/>
      <c r="E18" s="13" t="n"/>
      <c r="F18" s="4" t="n"/>
      <c r="G18" s="6" t="inlineStr">
        <is>
          <t>Refs: Team 3</t>
        </is>
      </c>
      <c r="H18" s="11" t="n"/>
      <c r="I18" s="12" t="n"/>
      <c r="J18" s="13" t="n"/>
      <c r="K18" s="4" t="n"/>
      <c r="L18" s="8" t="inlineStr">
        <is>
          <t>Off: Team 6, Team 7</t>
        </is>
      </c>
    </row>
    <row r="19" ht="15.75" customHeight="1">
      <c r="A19" s="1" t="inlineStr">
        <is>
          <t>Game 10</t>
        </is>
      </c>
      <c r="B19" s="2" t="inlineStr">
        <is>
          <t>Team 8</t>
        </is>
      </c>
      <c r="C19" s="3" t="n"/>
      <c r="D19" s="2" t="inlineStr">
        <is>
          <t>Team 3</t>
        </is>
      </c>
      <c r="E19" s="3" t="n"/>
      <c r="F19" s="4" t="n"/>
      <c r="G19" s="2" t="inlineStr">
        <is>
          <t>Team 6</t>
        </is>
      </c>
      <c r="H19" s="3" t="n"/>
      <c r="I19" s="2" t="inlineStr">
        <is>
          <t>Team 7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2</t>
        </is>
      </c>
      <c r="C20" s="11" t="n"/>
      <c r="D20" s="12" t="n"/>
      <c r="E20" s="13" t="n"/>
      <c r="F20" s="4" t="n"/>
      <c r="G20" s="6" t="inlineStr">
        <is>
          <t>Refs: Team 4</t>
        </is>
      </c>
      <c r="H20" s="11" t="n"/>
      <c r="I20" s="12" t="n"/>
      <c r="J20" s="13" t="n"/>
      <c r="K20" s="4" t="n"/>
      <c r="L20" s="8" t="inlineStr">
        <is>
          <t>Off: Team 1, Team 5</t>
        </is>
      </c>
    </row>
    <row r="21" ht="15.75" customHeight="1">
      <c r="A21" s="1" t="inlineStr">
        <is>
          <t>Game 11</t>
        </is>
      </c>
      <c r="B21" s="2" t="inlineStr">
        <is>
          <t>Team 5</t>
        </is>
      </c>
      <c r="C21" s="3" t="n"/>
      <c r="D21" s="2" t="inlineStr">
        <is>
          <t>Team 1</t>
        </is>
      </c>
      <c r="E21" s="3" t="n"/>
      <c r="F21" s="4" t="n"/>
      <c r="G21" s="2" t="inlineStr">
        <is>
          <t>Team 6</t>
        </is>
      </c>
      <c r="H21" s="3" t="n"/>
      <c r="I21" s="2" t="inlineStr">
        <is>
          <t>Team 2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7</t>
        </is>
      </c>
      <c r="C22" s="11" t="n"/>
      <c r="D22" s="12" t="n"/>
      <c r="E22" s="13" t="n"/>
      <c r="F22" s="4" t="n"/>
      <c r="G22" s="6" t="inlineStr">
        <is>
          <t>Refs: Team 8</t>
        </is>
      </c>
      <c r="H22" s="11" t="n"/>
      <c r="I22" s="12" t="n"/>
      <c r="J22" s="13" t="n"/>
      <c r="K22" s="4" t="n"/>
      <c r="L22" s="8" t="inlineStr">
        <is>
          <t>Off: Team 3, Team 4</t>
        </is>
      </c>
    </row>
    <row r="23" ht="15.75" customHeight="1">
      <c r="A23" s="1" t="inlineStr">
        <is>
          <t>Game 12</t>
        </is>
      </c>
      <c r="B23" s="2" t="inlineStr">
        <is>
          <t>Team 7</t>
        </is>
      </c>
      <c r="C23" s="3" t="n"/>
      <c r="D23" s="2" t="inlineStr">
        <is>
          <t>Team 3</t>
        </is>
      </c>
      <c r="E23" s="3" t="n"/>
      <c r="F23" s="4" t="n"/>
      <c r="G23" s="2" t="inlineStr">
        <is>
          <t>Team 4</t>
        </is>
      </c>
      <c r="H23" s="3" t="n"/>
      <c r="I23" s="2" t="inlineStr">
        <is>
          <t>Team 8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5</t>
        </is>
      </c>
      <c r="C24" s="11" t="n"/>
      <c r="D24" s="12" t="n"/>
      <c r="E24" s="13" t="n"/>
      <c r="F24" s="4" t="n"/>
      <c r="G24" s="6" t="inlineStr">
        <is>
          <t>Refs: Team 6</t>
        </is>
      </c>
      <c r="H24" s="11" t="n"/>
      <c r="I24" s="12" t="n"/>
      <c r="J24" s="13" t="n"/>
      <c r="K24" s="4" t="n"/>
      <c r="L24" s="8" t="inlineStr">
        <is>
          <t>Off: Team 1, Team 2</t>
        </is>
      </c>
    </row>
    <row r="25" ht="15.75" customHeight="1">
      <c r="A25" s="1" t="inlineStr">
        <is>
          <t>Game 13</t>
        </is>
      </c>
      <c r="B25" s="2" t="inlineStr">
        <is>
          <t>Team 6</t>
        </is>
      </c>
      <c r="C25" s="3" t="n"/>
      <c r="D25" s="2" t="inlineStr">
        <is>
          <t>Team 1</t>
        </is>
      </c>
      <c r="E25" s="3" t="n"/>
      <c r="F25" s="4" t="n"/>
      <c r="G25" s="2" t="inlineStr">
        <is>
          <t>Team 2</t>
        </is>
      </c>
      <c r="H25" s="3" t="n"/>
      <c r="I25" s="2" t="inlineStr">
        <is>
          <t>Team 5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3</t>
        </is>
      </c>
      <c r="C26" s="11" t="n"/>
      <c r="D26" s="12" t="n"/>
      <c r="E26" s="13" t="n"/>
      <c r="F26" s="4" t="n"/>
      <c r="G26" s="6" t="inlineStr">
        <is>
          <t>Refs: Team 4</t>
        </is>
      </c>
      <c r="H26" s="11" t="n"/>
      <c r="I26" s="12" t="n"/>
      <c r="J26" s="13" t="n"/>
      <c r="K26" s="4" t="n"/>
      <c r="L26" s="8" t="inlineStr">
        <is>
          <t>Off: Team 7, Team 8</t>
        </is>
      </c>
    </row>
    <row r="27" ht="15.75" customHeight="1">
      <c r="A27" s="1" t="inlineStr">
        <is>
          <t>Game 14</t>
        </is>
      </c>
      <c r="B27" s="2" t="inlineStr">
        <is>
          <t>Team 3</t>
        </is>
      </c>
      <c r="C27" s="3" t="n"/>
      <c r="D27" s="2" t="inlineStr">
        <is>
          <t>Team 8</t>
        </is>
      </c>
      <c r="E27" s="3" t="n"/>
      <c r="F27" s="4" t="n"/>
      <c r="G27" s="2" t="inlineStr">
        <is>
          <t>Team 4</t>
        </is>
      </c>
      <c r="H27" s="3" t="n"/>
      <c r="I27" s="2" t="inlineStr">
        <is>
          <t>Team 7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1</t>
        </is>
      </c>
      <c r="C28" s="11" t="n"/>
      <c r="D28" s="12" t="n"/>
      <c r="E28" s="13" t="n"/>
      <c r="F28" s="4" t="n"/>
      <c r="G28" s="6" t="inlineStr">
        <is>
          <t>Refs: Team 2</t>
        </is>
      </c>
      <c r="H28" s="11" t="n"/>
      <c r="I28" s="12" t="n"/>
      <c r="J28" s="13" t="n"/>
      <c r="K28" s="4" t="n"/>
      <c r="L28" s="8" t="inlineStr">
        <is>
          <t>Off: Team 5, Team 6</t>
        </is>
      </c>
    </row>
    <row r="29" ht="15.75" customHeight="1">
      <c r="A29" s="1" t="inlineStr">
        <is>
          <t>Game 15</t>
        </is>
      </c>
      <c r="B29" s="2" t="inlineStr">
        <is>
          <t>Team 1</t>
        </is>
      </c>
      <c r="C29" s="3" t="n"/>
      <c r="D29" s="2" t="inlineStr">
        <is>
          <t>Team 6</t>
        </is>
      </c>
      <c r="E29" s="3" t="n"/>
      <c r="F29" s="4" t="n"/>
      <c r="G29" s="2" t="inlineStr">
        <is>
          <t>Team 7</t>
        </is>
      </c>
      <c r="H29" s="3" t="n"/>
      <c r="I29" s="2" t="inlineStr">
        <is>
          <t>Team 2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5</t>
        </is>
      </c>
      <c r="C30" s="11" t="n"/>
      <c r="D30" s="12" t="n"/>
      <c r="E30" s="13" t="n"/>
      <c r="F30" s="4" t="n"/>
      <c r="G30" s="6" t="inlineStr">
        <is>
          <t>Refs: Team 8</t>
        </is>
      </c>
      <c r="H30" s="11" t="n"/>
      <c r="I30" s="12" t="n"/>
      <c r="J30" s="13" t="n"/>
      <c r="K30" s="4" t="n"/>
      <c r="L30" s="8" t="inlineStr">
        <is>
          <t>Off: Team 3, Team 4</t>
        </is>
      </c>
    </row>
    <row r="31" ht="15.75" customHeight="1">
      <c r="A31" s="1" t="inlineStr">
        <is>
          <t>Game 16</t>
        </is>
      </c>
      <c r="B31" s="2" t="inlineStr">
        <is>
          <t>Team 3</t>
        </is>
      </c>
      <c r="C31" s="3" t="n"/>
      <c r="D31" s="2" t="inlineStr">
        <is>
          <t>Team 5</t>
        </is>
      </c>
      <c r="E31" s="3" t="n"/>
      <c r="F31" s="4" t="n"/>
      <c r="G31" s="2" t="inlineStr">
        <is>
          <t>Team 8</t>
        </is>
      </c>
      <c r="H31" s="3" t="n"/>
      <c r="I31" s="2" t="inlineStr">
        <is>
          <t>Team 4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6</t>
        </is>
      </c>
      <c r="C32" s="11" t="n"/>
      <c r="D32" s="12" t="n"/>
      <c r="E32" s="13" t="n"/>
      <c r="F32" s="4" t="n"/>
      <c r="G32" s="6" t="inlineStr">
        <is>
          <t>Refs: Team 7</t>
        </is>
      </c>
      <c r="H32" s="11" t="n"/>
      <c r="I32" s="12" t="n"/>
      <c r="J32" s="13" t="n"/>
      <c r="K32" s="4" t="n"/>
      <c r="L32" s="8" t="inlineStr">
        <is>
          <t>Off: Team 1, Team 2</t>
        </is>
      </c>
    </row>
    <row r="33" ht="15.75" customHeight="1">
      <c r="A33" s="1" t="inlineStr">
        <is>
          <t>Game 17</t>
        </is>
      </c>
      <c r="B33" s="2" t="inlineStr">
        <is>
          <t>Team 1</t>
        </is>
      </c>
      <c r="C33" s="3" t="n"/>
      <c r="D33" s="2" t="inlineStr">
        <is>
          <t>Team 7</t>
        </is>
      </c>
      <c r="E33" s="3" t="n"/>
      <c r="F33" s="4" t="n"/>
      <c r="G33" s="2" t="inlineStr">
        <is>
          <t>Team 8</t>
        </is>
      </c>
      <c r="H33" s="3" t="n"/>
      <c r="I33" s="2" t="inlineStr">
        <is>
          <t>Team 2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3</t>
        </is>
      </c>
      <c r="C34" s="11" t="n"/>
      <c r="D34" s="12" t="n"/>
      <c r="E34" s="13" t="n"/>
      <c r="F34" s="4" t="n"/>
      <c r="G34" s="6" t="inlineStr">
        <is>
          <t>Refs: Team 4</t>
        </is>
      </c>
      <c r="H34" s="11" t="n"/>
      <c r="I34" s="12" t="n"/>
      <c r="J34" s="13" t="n"/>
      <c r="K34" s="4" t="n"/>
      <c r="L34" s="8" t="inlineStr">
        <is>
          <t>Off: Team 5, Team 6</t>
        </is>
      </c>
    </row>
    <row r="35" ht="15.75" customHeight="1">
      <c r="A35" s="1" t="inlineStr">
        <is>
          <t>Game 18</t>
        </is>
      </c>
      <c r="B35" s="2" t="inlineStr">
        <is>
          <t>Team 5</t>
        </is>
      </c>
      <c r="C35" s="3" t="n"/>
      <c r="D35" s="2" t="inlineStr">
        <is>
          <t>Team 3</t>
        </is>
      </c>
      <c r="E35" s="3" t="n"/>
      <c r="F35" s="4" t="n"/>
      <c r="G35" s="2" t="inlineStr">
        <is>
          <t>Team 6</t>
        </is>
      </c>
      <c r="H35" s="3" t="n"/>
      <c r="I35" s="2" t="inlineStr">
        <is>
          <t>Team 4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1</t>
        </is>
      </c>
      <c r="C36" s="11" t="n"/>
      <c r="D36" s="12" t="n"/>
      <c r="E36" s="13" t="n"/>
      <c r="F36" s="4" t="n"/>
      <c r="G36" s="6" t="inlineStr">
        <is>
          <t>Refs: Team 2</t>
        </is>
      </c>
      <c r="H36" s="11" t="n"/>
      <c r="I36" s="12" t="n"/>
      <c r="J36" s="13" t="n"/>
      <c r="K36" s="4" t="n"/>
      <c r="L36" s="8" t="inlineStr">
        <is>
          <t>Off: Team 7, Team 8</t>
        </is>
      </c>
    </row>
    <row r="37" ht="15.75" customHeight="1">
      <c r="A37" s="1" t="inlineStr">
        <is>
          <t>Game 19</t>
        </is>
      </c>
      <c r="B37" s="2" t="inlineStr">
        <is>
          <t>Team 8</t>
        </is>
      </c>
      <c r="C37" s="3" t="n"/>
      <c r="D37" s="2" t="inlineStr">
        <is>
          <t>Team 1</t>
        </is>
      </c>
      <c r="E37" s="3" t="n"/>
      <c r="F37" s="4" t="n"/>
      <c r="G37" s="2" t="inlineStr">
        <is>
          <t>Team 2</t>
        </is>
      </c>
      <c r="H37" s="3" t="n"/>
      <c r="I37" s="2" t="inlineStr">
        <is>
          <t>Team 7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5</t>
        </is>
      </c>
      <c r="C38" s="11" t="n"/>
      <c r="D38" s="12" t="n"/>
      <c r="E38" s="13" t="n"/>
      <c r="F38" s="4" t="n"/>
      <c r="G38" s="6" t="inlineStr">
        <is>
          <t>Refs: Team 6</t>
        </is>
      </c>
      <c r="H38" s="11" t="n"/>
      <c r="I38" s="12" t="n"/>
      <c r="J38" s="13" t="n"/>
      <c r="K38" s="4" t="n"/>
      <c r="L38" s="8" t="inlineStr">
        <is>
          <t>Off: Team 3, Team 4</t>
        </is>
      </c>
    </row>
    <row r="39" ht="15.75" customHeight="1">
      <c r="A39" s="1" t="inlineStr">
        <is>
          <t>Game 20</t>
        </is>
      </c>
      <c r="B39" s="2" t="inlineStr">
        <is>
          <t>Team 3</t>
        </is>
      </c>
      <c r="C39" s="3" t="n"/>
      <c r="D39" s="2" t="inlineStr">
        <is>
          <t>Team 6</t>
        </is>
      </c>
      <c r="E39" s="3" t="n"/>
      <c r="F39" s="4" t="n"/>
      <c r="G39" s="2" t="inlineStr">
        <is>
          <t>Team 4</t>
        </is>
      </c>
      <c r="H39" s="3" t="n"/>
      <c r="I39" s="2" t="inlineStr">
        <is>
          <t>Team 5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7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2</t>
        </is>
      </c>
      <c r="C1" s="3" t="n"/>
      <c r="D1" s="2" t="inlineStr">
        <is>
          <t>Team 1</t>
        </is>
      </c>
      <c r="E1" s="3" t="n"/>
      <c r="F1" s="4" t="n"/>
      <c r="G1" s="2" t="inlineStr">
        <is>
          <t>Team 3</t>
        </is>
      </c>
      <c r="H1" s="3" t="n"/>
      <c r="I1" s="2" t="inlineStr">
        <is>
          <t>Team 4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6</t>
        </is>
      </c>
      <c r="C3" s="3" t="n"/>
      <c r="D3" s="2" t="inlineStr">
        <is>
          <t>Team 5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2</t>
        </is>
      </c>
      <c r="C5" s="3" t="n"/>
      <c r="D5" s="2" t="inlineStr">
        <is>
          <t>Team 1</t>
        </is>
      </c>
      <c r="E5" s="3" t="n"/>
      <c r="F5" s="4" t="n"/>
      <c r="G5" s="2" t="inlineStr">
        <is>
          <t>Team 4</t>
        </is>
      </c>
      <c r="H5" s="3" t="n"/>
      <c r="I5" s="2" t="inlineStr">
        <is>
          <t>Team 3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7</t>
        </is>
      </c>
      <c r="C6" s="11" t="n"/>
      <c r="D6" s="12" t="n"/>
      <c r="E6" s="13" t="n"/>
      <c r="F6" s="4" t="n"/>
      <c r="G6" s="6" t="inlineStr">
        <is>
          <t>Refs: Team 8</t>
        </is>
      </c>
      <c r="H6" s="11" t="n"/>
      <c r="I6" s="12" t="n"/>
      <c r="J6" s="13" t="n"/>
      <c r="K6" s="4" t="n"/>
      <c r="L6" s="8" t="inlineStr">
        <is>
          <t>Off: Team 5, Team 6</t>
        </is>
      </c>
    </row>
    <row r="7" ht="15.75" customHeight="1">
      <c r="A7" s="1" t="inlineStr">
        <is>
          <t>Game 04</t>
        </is>
      </c>
      <c r="B7" s="2" t="inlineStr">
        <is>
          <t>Team 7</t>
        </is>
      </c>
      <c r="C7" s="3" t="n"/>
      <c r="D7" s="2" t="inlineStr">
        <is>
          <t>Team 5</t>
        </is>
      </c>
      <c r="E7" s="3" t="n"/>
      <c r="F7" s="4" t="n"/>
      <c r="G7" s="2" t="inlineStr">
        <is>
          <t>Team 6</t>
        </is>
      </c>
      <c r="H7" s="3" t="n"/>
      <c r="I7" s="2" t="inlineStr">
        <is>
          <t>Team 8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4</t>
        </is>
      </c>
      <c r="H8" s="11" t="n"/>
      <c r="I8" s="12" t="n"/>
      <c r="J8" s="13" t="n"/>
      <c r="K8" s="4" t="n"/>
      <c r="L8" s="8" t="inlineStr">
        <is>
          <t>Off: Team 1, Team 2</t>
        </is>
      </c>
    </row>
    <row r="9" ht="15.75" customHeight="1">
      <c r="A9" s="1" t="inlineStr">
        <is>
          <t>Game 05</t>
        </is>
      </c>
      <c r="B9" s="2" t="inlineStr">
        <is>
          <t>Team 1</t>
        </is>
      </c>
      <c r="C9" s="3" t="n"/>
      <c r="D9" s="2" t="inlineStr">
        <is>
          <t>Team 3</t>
        </is>
      </c>
      <c r="E9" s="3" t="n"/>
      <c r="F9" s="4" t="n"/>
      <c r="G9" s="2" t="inlineStr">
        <is>
          <t>Team 2</t>
        </is>
      </c>
      <c r="H9" s="3" t="n"/>
      <c r="I9" s="2" t="inlineStr">
        <is>
          <t>Team 4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5</t>
        </is>
      </c>
      <c r="C10" s="11" t="n"/>
      <c r="D10" s="12" t="n"/>
      <c r="E10" s="13" t="n"/>
      <c r="F10" s="4" t="n"/>
      <c r="G10" s="6" t="inlineStr">
        <is>
          <t>Refs: Team 6</t>
        </is>
      </c>
      <c r="H10" s="11" t="n"/>
      <c r="I10" s="12" t="n"/>
      <c r="J10" s="13" t="n"/>
      <c r="K10" s="4" t="n"/>
      <c r="L10" s="8" t="inlineStr">
        <is>
          <t>Off: Team 7, Team 8</t>
        </is>
      </c>
    </row>
    <row r="11" ht="15.75" customHeight="1">
      <c r="A11" s="1" t="inlineStr">
        <is>
          <t>Game 06</t>
        </is>
      </c>
      <c r="B11" s="2" t="inlineStr">
        <is>
          <t>Team 8</t>
        </is>
      </c>
      <c r="C11" s="3" t="n"/>
      <c r="D11" s="2" t="inlineStr">
        <is>
          <t>Team 5</t>
        </is>
      </c>
      <c r="E11" s="3" t="n"/>
      <c r="F11" s="4" t="n"/>
      <c r="G11" s="2" t="inlineStr">
        <is>
          <t>Team 7</t>
        </is>
      </c>
      <c r="H11" s="3" t="n"/>
      <c r="I11" s="2" t="inlineStr">
        <is>
          <t>Team 6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1</t>
        </is>
      </c>
      <c r="C12" s="11" t="n"/>
      <c r="D12" s="12" t="n"/>
      <c r="E12" s="13" t="n"/>
      <c r="F12" s="4" t="n"/>
      <c r="G12" s="6" t="inlineStr">
        <is>
          <t>Refs: Team 2</t>
        </is>
      </c>
      <c r="H12" s="11" t="n"/>
      <c r="I12" s="12" t="n"/>
      <c r="J12" s="13" t="n"/>
      <c r="K12" s="4" t="n"/>
      <c r="L12" s="8" t="inlineStr">
        <is>
          <t>Off: Team 3, Team 4</t>
        </is>
      </c>
    </row>
    <row r="13" ht="15.75" customHeight="1">
      <c r="A13" s="1" t="inlineStr">
        <is>
          <t>Game 07</t>
        </is>
      </c>
      <c r="B13" s="2" t="inlineStr">
        <is>
          <t>Team 4</t>
        </is>
      </c>
      <c r="C13" s="3" t="n"/>
      <c r="D13" s="2" t="inlineStr">
        <is>
          <t>Team 1</t>
        </is>
      </c>
      <c r="E13" s="3" t="n"/>
      <c r="F13" s="4" t="n"/>
      <c r="G13" s="2" t="inlineStr">
        <is>
          <t>Team 3</t>
        </is>
      </c>
      <c r="H13" s="3" t="n"/>
      <c r="I13" s="2" t="inlineStr">
        <is>
          <t>Team 2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7</t>
        </is>
      </c>
      <c r="C14" s="11" t="n"/>
      <c r="D14" s="12" t="n"/>
      <c r="E14" s="13" t="n"/>
      <c r="F14" s="4" t="n"/>
      <c r="G14" s="6" t="inlineStr">
        <is>
          <t>Refs: Team 8</t>
        </is>
      </c>
      <c r="H14" s="11" t="n"/>
      <c r="I14" s="12" t="n"/>
      <c r="J14" s="13" t="n"/>
      <c r="K14" s="4" t="n"/>
      <c r="L14" s="8" t="inlineStr">
        <is>
          <t>Off: Team 5, Team 6</t>
        </is>
      </c>
    </row>
    <row r="15" ht="15.75" customHeight="1">
      <c r="A15" s="1" t="inlineStr">
        <is>
          <t>Game 08</t>
        </is>
      </c>
      <c r="B15" s="2" t="inlineStr">
        <is>
          <t>Team 5</t>
        </is>
      </c>
      <c r="C15" s="3" t="n"/>
      <c r="D15" s="2" t="inlineStr">
        <is>
          <t>Team 1</t>
        </is>
      </c>
      <c r="E15" s="3" t="n"/>
      <c r="F15" s="4" t="n"/>
      <c r="G15" s="2" t="inlineStr">
        <is>
          <t>Team 8</t>
        </is>
      </c>
      <c r="H15" s="3" t="n"/>
      <c r="I15" s="2" t="inlineStr">
        <is>
          <t>Team 7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3</t>
        </is>
      </c>
      <c r="C16" s="11" t="n"/>
      <c r="D16" s="12" t="n"/>
      <c r="E16" s="13" t="n"/>
      <c r="F16" s="4" t="n"/>
      <c r="G16" s="6" t="inlineStr">
        <is>
          <t>Refs: Team 4</t>
        </is>
      </c>
      <c r="H16" s="11" t="n"/>
      <c r="I16" s="12" t="n"/>
      <c r="J16" s="13" t="n"/>
      <c r="K16" s="4" t="n"/>
      <c r="L16" s="8" t="inlineStr">
        <is>
          <t>Off: Team 2, Team 6</t>
        </is>
      </c>
    </row>
    <row r="17" ht="15.75" customHeight="1">
      <c r="A17" s="1" t="inlineStr">
        <is>
          <t>Game 09</t>
        </is>
      </c>
      <c r="B17" s="2" t="inlineStr">
        <is>
          <t>Team 5</t>
        </is>
      </c>
      <c r="C17" s="3" t="n"/>
      <c r="D17" s="2" t="inlineStr">
        <is>
          <t>Team 2</t>
        </is>
      </c>
      <c r="E17" s="3" t="n"/>
      <c r="F17" s="4" t="n"/>
      <c r="G17" s="2" t="inlineStr">
        <is>
          <t>Team 3</t>
        </is>
      </c>
      <c r="H17" s="3" t="n"/>
      <c r="I17" s="2" t="inlineStr">
        <is>
          <t>Team 6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1</t>
        </is>
      </c>
      <c r="C18" s="11" t="n"/>
      <c r="D18" s="12" t="n"/>
      <c r="E18" s="13" t="n"/>
      <c r="F18" s="4" t="n"/>
      <c r="G18" s="6" t="inlineStr">
        <is>
          <t>Refs: Team 4</t>
        </is>
      </c>
      <c r="H18" s="11" t="n"/>
      <c r="I18" s="12" t="n"/>
      <c r="J18" s="13" t="n"/>
      <c r="K18" s="4" t="n"/>
      <c r="L18" s="8" t="inlineStr">
        <is>
          <t>Off: Team 7, Team 8</t>
        </is>
      </c>
    </row>
    <row r="19" ht="15.75" customHeight="1">
      <c r="A19" s="1" t="inlineStr">
        <is>
          <t>Game 10</t>
        </is>
      </c>
      <c r="B19" s="2" t="inlineStr">
        <is>
          <t>Team 1</t>
        </is>
      </c>
      <c r="C19" s="3" t="n"/>
      <c r="D19" s="2" t="inlineStr">
        <is>
          <t>Team 6</t>
        </is>
      </c>
      <c r="E19" s="3" t="n"/>
      <c r="F19" s="4" t="n"/>
      <c r="G19" s="2" t="inlineStr">
        <is>
          <t>Team 7</t>
        </is>
      </c>
      <c r="H19" s="3" t="n"/>
      <c r="I19" s="2" t="inlineStr">
        <is>
          <t>Team 4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2</t>
        </is>
      </c>
      <c r="C20" s="11" t="n"/>
      <c r="D20" s="12" t="n"/>
      <c r="E20" s="13" t="n"/>
      <c r="F20" s="4" t="n"/>
      <c r="G20" s="6" t="inlineStr">
        <is>
          <t>Refs: Team 3</t>
        </is>
      </c>
      <c r="H20" s="11" t="n"/>
      <c r="I20" s="12" t="n"/>
      <c r="J20" s="13" t="n"/>
      <c r="K20" s="4" t="n"/>
      <c r="L20" s="8" t="inlineStr">
        <is>
          <t>Off: Team 5, Team 8</t>
        </is>
      </c>
    </row>
    <row r="21" ht="15.75" customHeight="1">
      <c r="A21" s="1" t="inlineStr">
        <is>
          <t>Game 11</t>
        </is>
      </c>
      <c r="B21" s="2" t="inlineStr">
        <is>
          <t>Team 6</t>
        </is>
      </c>
      <c r="C21" s="3" t="n"/>
      <c r="D21" s="2" t="inlineStr">
        <is>
          <t>Team 2</t>
        </is>
      </c>
      <c r="E21" s="3" t="n"/>
      <c r="F21" s="4" t="n"/>
      <c r="G21" s="2" t="inlineStr">
        <is>
          <t>Team 8</t>
        </is>
      </c>
      <c r="H21" s="3" t="n"/>
      <c r="I21" s="2" t="inlineStr">
        <is>
          <t>Team 3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5</t>
        </is>
      </c>
      <c r="C22" s="11" t="n"/>
      <c r="D22" s="12" t="n"/>
      <c r="E22" s="13" t="n"/>
      <c r="F22" s="4" t="n"/>
      <c r="G22" s="6" t="inlineStr">
        <is>
          <t>Refs: Team 7</t>
        </is>
      </c>
      <c r="H22" s="11" t="n"/>
      <c r="I22" s="12" t="n"/>
      <c r="J22" s="13" t="n"/>
      <c r="K22" s="4" t="n"/>
      <c r="L22" s="8" t="inlineStr">
        <is>
          <t>Off: Team 1, Team 4</t>
        </is>
      </c>
    </row>
    <row r="23" ht="15.75" customHeight="1">
      <c r="A23" s="1" t="inlineStr">
        <is>
          <t>Game 12</t>
        </is>
      </c>
      <c r="B23" s="2" t="inlineStr">
        <is>
          <t>Team 4</t>
        </is>
      </c>
      <c r="C23" s="3" t="n"/>
      <c r="D23" s="2" t="inlineStr">
        <is>
          <t>Team 8</t>
        </is>
      </c>
      <c r="E23" s="3" t="n"/>
      <c r="F23" s="4" t="n"/>
      <c r="G23" s="2" t="inlineStr">
        <is>
          <t>Team 5</t>
        </is>
      </c>
      <c r="H23" s="3" t="n"/>
      <c r="I23" s="2" t="inlineStr">
        <is>
          <t>Team 7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6</t>
        </is>
      </c>
      <c r="C24" s="11" t="n"/>
      <c r="D24" s="12" t="n"/>
      <c r="E24" s="13" t="n"/>
      <c r="F24" s="4" t="n"/>
      <c r="G24" s="6" t="inlineStr">
        <is>
          <t>Refs: Team 1</t>
        </is>
      </c>
      <c r="H24" s="11" t="n"/>
      <c r="I24" s="12" t="n"/>
      <c r="J24" s="13" t="n"/>
      <c r="K24" s="4" t="n"/>
      <c r="L24" s="8" t="inlineStr">
        <is>
          <t>Off: Team 2, Team 3</t>
        </is>
      </c>
    </row>
    <row r="25" ht="15.75" customHeight="1">
      <c r="A25" s="1" t="inlineStr">
        <is>
          <t>Game 13</t>
        </is>
      </c>
      <c r="B25" s="2" t="inlineStr">
        <is>
          <t>Team 1</t>
        </is>
      </c>
      <c r="C25" s="3" t="n"/>
      <c r="D25" s="2" t="inlineStr">
        <is>
          <t>Team 7</t>
        </is>
      </c>
      <c r="E25" s="3" t="n"/>
      <c r="F25" s="4" t="n"/>
      <c r="G25" s="2" t="inlineStr">
        <is>
          <t>Team 2</t>
        </is>
      </c>
      <c r="H25" s="3" t="n"/>
      <c r="I25" s="2" t="inlineStr">
        <is>
          <t>Team 6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8</t>
        </is>
      </c>
      <c r="C26" s="11" t="n"/>
      <c r="D26" s="12" t="n"/>
      <c r="E26" s="13" t="n"/>
      <c r="F26" s="4" t="n"/>
      <c r="G26" s="6" t="inlineStr">
        <is>
          <t>Refs: Team 3</t>
        </is>
      </c>
      <c r="H26" s="11" t="n"/>
      <c r="I26" s="12" t="n"/>
      <c r="J26" s="13" t="n"/>
      <c r="K26" s="4" t="n"/>
      <c r="L26" s="8" t="inlineStr">
        <is>
          <t>Off: Team 4, Team 5</t>
        </is>
      </c>
    </row>
    <row r="27" ht="15.75" customHeight="1">
      <c r="A27" s="1" t="inlineStr">
        <is>
          <t>Game 14</t>
        </is>
      </c>
      <c r="B27" s="2" t="inlineStr">
        <is>
          <t>Team 1</t>
        </is>
      </c>
      <c r="C27" s="3" t="n"/>
      <c r="D27" s="2" t="inlineStr">
        <is>
          <t>Team 8</t>
        </is>
      </c>
      <c r="E27" s="3" t="n"/>
      <c r="F27" s="4" t="n"/>
      <c r="G27" s="2" t="inlineStr">
        <is>
          <t>Team 5</t>
        </is>
      </c>
      <c r="H27" s="3" t="n"/>
      <c r="I27" s="2" t="inlineStr">
        <is>
          <t>Team 3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2</t>
        </is>
      </c>
      <c r="C28" s="11" t="n"/>
      <c r="D28" s="12" t="n"/>
      <c r="E28" s="13" t="n"/>
      <c r="F28" s="4" t="n"/>
      <c r="G28" s="6" t="inlineStr">
        <is>
          <t>Refs: Team 4</t>
        </is>
      </c>
      <c r="H28" s="11" t="n"/>
      <c r="I28" s="12" t="n"/>
      <c r="J28" s="13" t="n"/>
      <c r="K28" s="4" t="n"/>
      <c r="L28" s="8" t="inlineStr">
        <is>
          <t>Off: Team 6, Team 7</t>
        </is>
      </c>
    </row>
    <row r="29" ht="15.75" customHeight="1">
      <c r="A29" s="1" t="inlineStr">
        <is>
          <t>Game 15</t>
        </is>
      </c>
      <c r="B29" s="2" t="inlineStr">
        <is>
          <t>Team 7</t>
        </is>
      </c>
      <c r="C29" s="3" t="n"/>
      <c r="D29" s="2" t="inlineStr">
        <is>
          <t>Team 2</t>
        </is>
      </c>
      <c r="E29" s="3" t="n"/>
      <c r="F29" s="4" t="n"/>
      <c r="G29" s="2" t="inlineStr">
        <is>
          <t>Team 4</t>
        </is>
      </c>
      <c r="H29" s="3" t="n"/>
      <c r="I29" s="2" t="inlineStr">
        <is>
          <t>Team 5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6</t>
        </is>
      </c>
      <c r="C30" s="11" t="n"/>
      <c r="D30" s="12" t="n"/>
      <c r="E30" s="13" t="n"/>
      <c r="F30" s="4" t="n"/>
      <c r="G30" s="6" t="inlineStr">
        <is>
          <t>Refs: Team 8</t>
        </is>
      </c>
      <c r="H30" s="11" t="n"/>
      <c r="I30" s="12" t="n"/>
      <c r="J30" s="13" t="n"/>
      <c r="K30" s="4" t="n"/>
      <c r="L30" s="8" t="inlineStr">
        <is>
          <t>Off: Team 1, Team 3</t>
        </is>
      </c>
    </row>
    <row r="31" ht="15.75" customHeight="1">
      <c r="A31" s="1" t="inlineStr">
        <is>
          <t>Game 16</t>
        </is>
      </c>
      <c r="B31" s="2" t="inlineStr">
        <is>
          <t>Team 8</t>
        </is>
      </c>
      <c r="C31" s="3" t="n"/>
      <c r="D31" s="2" t="inlineStr">
        <is>
          <t>Team 1</t>
        </is>
      </c>
      <c r="E31" s="3" t="n"/>
      <c r="F31" s="4" t="n"/>
      <c r="G31" s="2" t="inlineStr">
        <is>
          <t>Team 6</t>
        </is>
      </c>
      <c r="H31" s="3" t="n"/>
      <c r="I31" s="2" t="inlineStr">
        <is>
          <t>Team 3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5</t>
        </is>
      </c>
      <c r="C32" s="11" t="n"/>
      <c r="D32" s="12" t="n"/>
      <c r="E32" s="13" t="n"/>
      <c r="F32" s="4" t="n"/>
      <c r="G32" s="6" t="inlineStr">
        <is>
          <t>Refs: Team 7</t>
        </is>
      </c>
      <c r="H32" s="11" t="n"/>
      <c r="I32" s="12" t="n"/>
      <c r="J32" s="13" t="n"/>
      <c r="K32" s="4" t="n"/>
      <c r="L32" s="8" t="inlineStr">
        <is>
          <t>Off: Team 2, Team 4</t>
        </is>
      </c>
    </row>
    <row r="33" ht="15.75" customHeight="1">
      <c r="A33" s="1" t="inlineStr">
        <is>
          <t>Game 17</t>
        </is>
      </c>
      <c r="B33" s="2" t="inlineStr">
        <is>
          <t>Team 8</t>
        </is>
      </c>
      <c r="C33" s="3" t="n"/>
      <c r="D33" s="2" t="inlineStr">
        <is>
          <t>Team 2</t>
        </is>
      </c>
      <c r="E33" s="3" t="n"/>
      <c r="F33" s="4" t="n"/>
      <c r="G33" s="2" t="inlineStr">
        <is>
          <t>Team 5</t>
        </is>
      </c>
      <c r="H33" s="3" t="n"/>
      <c r="I33" s="2" t="inlineStr">
        <is>
          <t>Team 4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1</t>
        </is>
      </c>
      <c r="C34" s="11" t="n"/>
      <c r="D34" s="12" t="n"/>
      <c r="E34" s="13" t="n"/>
      <c r="F34" s="4" t="n"/>
      <c r="G34" s="6" t="inlineStr">
        <is>
          <t>Refs: Team 3</t>
        </is>
      </c>
      <c r="H34" s="11" t="n"/>
      <c r="I34" s="12" t="n"/>
      <c r="J34" s="13" t="n"/>
      <c r="K34" s="4" t="n"/>
      <c r="L34" s="8" t="inlineStr">
        <is>
          <t>Off: Team 6, Team 7</t>
        </is>
      </c>
    </row>
    <row r="35" ht="15.75" customHeight="1">
      <c r="A35" s="1" t="inlineStr">
        <is>
          <t>Game 18</t>
        </is>
      </c>
      <c r="B35" s="2" t="inlineStr">
        <is>
          <t>Team 3</t>
        </is>
      </c>
      <c r="C35" s="3" t="n"/>
      <c r="D35" s="2" t="inlineStr">
        <is>
          <t>Team 7</t>
        </is>
      </c>
      <c r="E35" s="3" t="n"/>
      <c r="F35" s="4" t="n"/>
      <c r="G35" s="2" t="inlineStr">
        <is>
          <t>Team 6</t>
        </is>
      </c>
      <c r="H35" s="3" t="n"/>
      <c r="I35" s="2" t="inlineStr">
        <is>
          <t>Team 4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2</t>
        </is>
      </c>
      <c r="C36" s="11" t="n"/>
      <c r="D36" s="12" t="n"/>
      <c r="E36" s="13" t="n"/>
      <c r="F36" s="4" t="n"/>
      <c r="G36" s="6" t="inlineStr">
        <is>
          <t>Refs: Team 5</t>
        </is>
      </c>
      <c r="H36" s="11" t="n"/>
      <c r="I36" s="12" t="n"/>
      <c r="J36" s="13" t="n"/>
      <c r="K36" s="4" t="n"/>
      <c r="L36" s="8" t="inlineStr">
        <is>
          <t>Off: Team 1, Team 8</t>
        </is>
      </c>
    </row>
    <row r="37" ht="15.75" customHeight="1">
      <c r="A37" s="1" t="inlineStr">
        <is>
          <t>Game 19</t>
        </is>
      </c>
      <c r="B37" s="2" t="inlineStr">
        <is>
          <t>Team 1</t>
        </is>
      </c>
      <c r="C37" s="3" t="n"/>
      <c r="D37" s="2" t="inlineStr">
        <is>
          <t>Team 7</t>
        </is>
      </c>
      <c r="E37" s="3" t="n"/>
      <c r="F37" s="4" t="n"/>
      <c r="G37" s="2" t="inlineStr">
        <is>
          <t>Team 2</t>
        </is>
      </c>
      <c r="H37" s="3" t="n"/>
      <c r="I37" s="2" t="inlineStr">
        <is>
          <t>Team 8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4</t>
        </is>
      </c>
      <c r="C38" s="11" t="n"/>
      <c r="D38" s="12" t="n"/>
      <c r="E38" s="13" t="n"/>
      <c r="F38" s="4" t="n"/>
      <c r="G38" s="6" t="inlineStr">
        <is>
          <t>Refs: Team 6</t>
        </is>
      </c>
      <c r="H38" s="11" t="n"/>
      <c r="I38" s="12" t="n"/>
      <c r="J38" s="13" t="n"/>
      <c r="K38" s="4" t="n"/>
      <c r="L38" s="8" t="inlineStr">
        <is>
          <t>Off: Team 3, Team 5</t>
        </is>
      </c>
    </row>
    <row r="39" ht="15.75" customHeight="1">
      <c r="A39" s="1" t="inlineStr">
        <is>
          <t>Game 20</t>
        </is>
      </c>
      <c r="B39" s="2" t="inlineStr">
        <is>
          <t>Team 3</t>
        </is>
      </c>
      <c r="C39" s="3" t="n"/>
      <c r="D39" s="2" t="inlineStr">
        <is>
          <t>Team 5</t>
        </is>
      </c>
      <c r="E39" s="3" t="n"/>
      <c r="F39" s="4" t="n"/>
      <c r="G39" s="2" t="inlineStr">
        <is>
          <t>Team 4</t>
        </is>
      </c>
      <c r="H39" s="3" t="n"/>
      <c r="I39" s="2" t="inlineStr">
        <is>
          <t>Team 6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7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7.88" customWidth="1" min="1" max="1"/>
    <col width="17.63" customWidth="1" min="2" max="2"/>
    <col width="4.63" customWidth="1" min="3" max="3"/>
    <col width="17.63" customWidth="1" min="4" max="4"/>
    <col width="5.25" customWidth="1" min="5" max="5"/>
    <col width="12.63" customWidth="1" min="6" max="6"/>
    <col width="16.38" customWidth="1" min="7" max="7"/>
    <col width="5.75" customWidth="1" min="8" max="8"/>
    <col width="17.63" customWidth="1" min="9" max="9"/>
    <col width="5.88" customWidth="1" min="10" max="10"/>
    <col width="13" customWidth="1" min="11" max="11"/>
    <col width="28" customWidth="1" min="12" max="12"/>
  </cols>
  <sheetData>
    <row r="1" ht="15.75" customHeight="1">
      <c r="A1" s="1" t="inlineStr">
        <is>
          <t>Game 01</t>
        </is>
      </c>
      <c r="B1" s="2" t="inlineStr">
        <is>
          <t>Team 1</t>
        </is>
      </c>
      <c r="C1" s="3" t="n"/>
      <c r="D1" s="2" t="inlineStr">
        <is>
          <t>Team 2</t>
        </is>
      </c>
      <c r="E1" s="3" t="n"/>
      <c r="F1" s="4" t="n"/>
      <c r="G1" s="2" t="inlineStr">
        <is>
          <t>Team 3</t>
        </is>
      </c>
      <c r="H1" s="3" t="n"/>
      <c r="I1" s="2" t="inlineStr">
        <is>
          <t>Team 4</t>
        </is>
      </c>
      <c r="J1" s="3" t="n"/>
      <c r="K1" s="4" t="n"/>
      <c r="L1" s="9" t="n"/>
    </row>
    <row r="2" ht="15.75" customHeight="1">
      <c r="A2" s="10" t="n"/>
      <c r="B2" s="6" t="inlineStr">
        <is>
          <t>Refs: Team 5</t>
        </is>
      </c>
      <c r="C2" s="11" t="n"/>
      <c r="D2" s="12" t="n"/>
      <c r="E2" s="13" t="n"/>
      <c r="F2" s="4" t="n"/>
      <c r="G2" s="6" t="inlineStr">
        <is>
          <t>Refs: Team 6</t>
        </is>
      </c>
      <c r="H2" s="11" t="n"/>
      <c r="I2" s="12" t="n"/>
      <c r="J2" s="13" t="n"/>
      <c r="K2" s="4" t="n"/>
      <c r="L2" s="8" t="inlineStr">
        <is>
          <t>Off: Team 7, Team 8</t>
        </is>
      </c>
    </row>
    <row r="3" ht="15.75" customHeight="1">
      <c r="A3" s="1" t="inlineStr">
        <is>
          <t>Game 02</t>
        </is>
      </c>
      <c r="B3" s="2" t="inlineStr">
        <is>
          <t>Team 5</t>
        </is>
      </c>
      <c r="C3" s="3" t="n"/>
      <c r="D3" s="2" t="inlineStr">
        <is>
          <t>Team 6</t>
        </is>
      </c>
      <c r="E3" s="3" t="n"/>
      <c r="F3" s="4" t="n"/>
      <c r="G3" s="2" t="inlineStr">
        <is>
          <t>Team 7</t>
        </is>
      </c>
      <c r="H3" s="3" t="n"/>
      <c r="I3" s="2" t="inlineStr">
        <is>
          <t>Team 8</t>
        </is>
      </c>
      <c r="J3" s="3" t="n"/>
      <c r="K3" s="4" t="n"/>
      <c r="L3" s="9" t="n"/>
    </row>
    <row r="4" ht="15.75" customHeight="1">
      <c r="A4" s="10" t="n"/>
      <c r="B4" s="6" t="inlineStr">
        <is>
          <t>Refs: Team 1</t>
        </is>
      </c>
      <c r="C4" s="11" t="n"/>
      <c r="D4" s="12" t="n"/>
      <c r="E4" s="13" t="n"/>
      <c r="F4" s="4" t="n"/>
      <c r="G4" s="6" t="inlineStr">
        <is>
          <t>Refs: Team 2</t>
        </is>
      </c>
      <c r="H4" s="11" t="n"/>
      <c r="I4" s="12" t="n"/>
      <c r="J4" s="13" t="n"/>
      <c r="K4" s="4" t="n"/>
      <c r="L4" s="8" t="inlineStr">
        <is>
          <t>Off: Team 3, Team 4</t>
        </is>
      </c>
    </row>
    <row r="5" ht="15.75" customHeight="1">
      <c r="A5" s="1" t="inlineStr">
        <is>
          <t>Game 03</t>
        </is>
      </c>
      <c r="B5" s="2" t="inlineStr">
        <is>
          <t>Team 1</t>
        </is>
      </c>
      <c r="C5" s="3" t="n"/>
      <c r="D5" s="2" t="inlineStr">
        <is>
          <t>Team 3</t>
        </is>
      </c>
      <c r="E5" s="3" t="n"/>
      <c r="F5" s="4" t="n"/>
      <c r="G5" s="2" t="inlineStr">
        <is>
          <t>Team 2</t>
        </is>
      </c>
      <c r="H5" s="3" t="n"/>
      <c r="I5" s="2" t="inlineStr">
        <is>
          <t>Team 4</t>
        </is>
      </c>
      <c r="J5" s="3" t="n"/>
      <c r="K5" s="4" t="n"/>
      <c r="L5" s="9" t="n"/>
    </row>
    <row r="6" ht="15.75" customHeight="1">
      <c r="A6" s="10" t="n"/>
      <c r="B6" s="6" t="inlineStr">
        <is>
          <t>Refs: Team 7</t>
        </is>
      </c>
      <c r="C6" s="11" t="n"/>
      <c r="D6" s="12" t="n"/>
      <c r="E6" s="13" t="n"/>
      <c r="F6" s="4" t="n"/>
      <c r="G6" s="6" t="inlineStr">
        <is>
          <t>Refs: Team 8</t>
        </is>
      </c>
      <c r="H6" s="11" t="n"/>
      <c r="I6" s="12" t="n"/>
      <c r="J6" s="13" t="n"/>
      <c r="K6" s="4" t="n"/>
      <c r="L6" s="8" t="inlineStr">
        <is>
          <t>Off: Team 5, Team 6</t>
        </is>
      </c>
    </row>
    <row r="7" ht="15.75" customHeight="1">
      <c r="A7" s="1" t="inlineStr">
        <is>
          <t>Game 04</t>
        </is>
      </c>
      <c r="B7" s="2" t="inlineStr">
        <is>
          <t>Team 5</t>
        </is>
      </c>
      <c r="C7" s="3" t="n"/>
      <c r="D7" s="2" t="inlineStr">
        <is>
          <t>Team 7</t>
        </is>
      </c>
      <c r="E7" s="3" t="n"/>
      <c r="F7" s="4" t="n"/>
      <c r="G7" s="2" t="inlineStr">
        <is>
          <t>Team 6</t>
        </is>
      </c>
      <c r="H7" s="3" t="n"/>
      <c r="I7" s="2" t="inlineStr">
        <is>
          <t>Team 8</t>
        </is>
      </c>
      <c r="J7" s="3" t="n"/>
      <c r="K7" s="4" t="n"/>
      <c r="L7" s="9" t="n"/>
    </row>
    <row r="8" ht="15.75" customHeight="1">
      <c r="A8" s="10" t="n"/>
      <c r="B8" s="6" t="inlineStr">
        <is>
          <t>Refs: Team 3</t>
        </is>
      </c>
      <c r="C8" s="11" t="n"/>
      <c r="D8" s="12" t="n"/>
      <c r="E8" s="13" t="n"/>
      <c r="F8" s="4" t="n"/>
      <c r="G8" s="6" t="inlineStr">
        <is>
          <t>Refs: Team 4</t>
        </is>
      </c>
      <c r="H8" s="11" t="n"/>
      <c r="I8" s="12" t="n"/>
      <c r="J8" s="13" t="n"/>
      <c r="K8" s="4" t="n"/>
      <c r="L8" s="8" t="inlineStr">
        <is>
          <t>Off: Team 1, Team 2</t>
        </is>
      </c>
    </row>
    <row r="9" ht="15.75" customHeight="1">
      <c r="A9" s="1" t="inlineStr">
        <is>
          <t>Game 05</t>
        </is>
      </c>
      <c r="B9" s="2" t="inlineStr">
        <is>
          <t>Team 1</t>
        </is>
      </c>
      <c r="C9" s="3" t="n"/>
      <c r="D9" s="2" t="inlineStr">
        <is>
          <t>Team 3</t>
        </is>
      </c>
      <c r="E9" s="3" t="n"/>
      <c r="F9" s="4" t="n"/>
      <c r="G9" s="2" t="inlineStr">
        <is>
          <t>Team 4</t>
        </is>
      </c>
      <c r="H9" s="3" t="n"/>
      <c r="I9" s="2" t="inlineStr">
        <is>
          <t>Team 2</t>
        </is>
      </c>
      <c r="J9" s="3" t="n"/>
      <c r="K9" s="4" t="n"/>
      <c r="L9" s="9" t="n"/>
    </row>
    <row r="10" ht="15.75" customHeight="1">
      <c r="A10" s="10" t="n"/>
      <c r="B10" s="6" t="inlineStr">
        <is>
          <t>Refs: Team 5</t>
        </is>
      </c>
      <c r="C10" s="11" t="n"/>
      <c r="D10" s="12" t="n"/>
      <c r="E10" s="13" t="n"/>
      <c r="F10" s="4" t="n"/>
      <c r="G10" s="6" t="inlineStr">
        <is>
          <t>Refs: Team 6</t>
        </is>
      </c>
      <c r="H10" s="11" t="n"/>
      <c r="I10" s="12" t="n"/>
      <c r="J10" s="13" t="n"/>
      <c r="K10" s="4" t="n"/>
      <c r="L10" s="8" t="inlineStr">
        <is>
          <t>Off: Team 7, Team 8</t>
        </is>
      </c>
    </row>
    <row r="11" ht="15.75" customHeight="1">
      <c r="A11" s="1" t="inlineStr">
        <is>
          <t>Game 06</t>
        </is>
      </c>
      <c r="B11" s="2" t="inlineStr">
        <is>
          <t>Team 7</t>
        </is>
      </c>
      <c r="C11" s="3" t="n"/>
      <c r="D11" s="2" t="inlineStr">
        <is>
          <t>Team 5</t>
        </is>
      </c>
      <c r="E11" s="3" t="n"/>
      <c r="F11" s="4" t="n"/>
      <c r="G11" s="2" t="inlineStr">
        <is>
          <t>Team 8</t>
        </is>
      </c>
      <c r="H11" s="3" t="n"/>
      <c r="I11" s="2" t="inlineStr">
        <is>
          <t>Team 6</t>
        </is>
      </c>
      <c r="J11" s="3" t="n"/>
      <c r="K11" s="4" t="n"/>
      <c r="L11" s="9" t="n"/>
    </row>
    <row r="12" ht="15.75" customHeight="1">
      <c r="A12" s="10" t="n"/>
      <c r="B12" s="6" t="inlineStr">
        <is>
          <t>Refs: Team 1</t>
        </is>
      </c>
      <c r="C12" s="11" t="n"/>
      <c r="D12" s="12" t="n"/>
      <c r="E12" s="13" t="n"/>
      <c r="F12" s="4" t="n"/>
      <c r="G12" s="6" t="inlineStr">
        <is>
          <t>Refs: Team 2</t>
        </is>
      </c>
      <c r="H12" s="11" t="n"/>
      <c r="I12" s="12" t="n"/>
      <c r="J12" s="13" t="n"/>
      <c r="K12" s="4" t="n"/>
      <c r="L12" s="8" t="inlineStr">
        <is>
          <t>Off: Team 3, Team 4</t>
        </is>
      </c>
    </row>
    <row r="13" ht="15.75" customHeight="1">
      <c r="A13" s="1" t="inlineStr">
        <is>
          <t>Game 07</t>
        </is>
      </c>
      <c r="B13" s="2" t="inlineStr">
        <is>
          <t>Team 4</t>
        </is>
      </c>
      <c r="C13" s="3" t="n"/>
      <c r="D13" s="2" t="inlineStr">
        <is>
          <t>Team 1</t>
        </is>
      </c>
      <c r="E13" s="3" t="n"/>
      <c r="F13" s="4" t="n"/>
      <c r="G13" s="2" t="inlineStr">
        <is>
          <t>Team 3</t>
        </is>
      </c>
      <c r="H13" s="3" t="n"/>
      <c r="I13" s="2" t="inlineStr">
        <is>
          <t>Team 2</t>
        </is>
      </c>
      <c r="J13" s="3" t="n"/>
      <c r="K13" s="4" t="n"/>
      <c r="L13" s="9" t="n"/>
    </row>
    <row r="14" ht="15.75" customHeight="1">
      <c r="A14" s="10" t="n"/>
      <c r="B14" s="6" t="inlineStr">
        <is>
          <t>Refs: Team 7</t>
        </is>
      </c>
      <c r="C14" s="11" t="n"/>
      <c r="D14" s="12" t="n"/>
      <c r="E14" s="13" t="n"/>
      <c r="F14" s="4" t="n"/>
      <c r="G14" s="6" t="inlineStr">
        <is>
          <t>Refs: Team 8</t>
        </is>
      </c>
      <c r="H14" s="11" t="n"/>
      <c r="I14" s="12" t="n"/>
      <c r="J14" s="13" t="n"/>
      <c r="K14" s="4" t="n"/>
      <c r="L14" s="8" t="inlineStr">
        <is>
          <t>Off: Team 5, Team 6</t>
        </is>
      </c>
    </row>
    <row r="15" ht="15.75" customHeight="1">
      <c r="A15" s="1" t="inlineStr">
        <is>
          <t>Game 08</t>
        </is>
      </c>
      <c r="B15" s="2" t="inlineStr">
        <is>
          <t>Team 8</t>
        </is>
      </c>
      <c r="C15" s="3" t="n"/>
      <c r="D15" s="2" t="inlineStr">
        <is>
          <t>Team 5</t>
        </is>
      </c>
      <c r="E15" s="3" t="n"/>
      <c r="F15" s="4" t="n"/>
      <c r="G15" s="2" t="inlineStr">
        <is>
          <t>Team 7</t>
        </is>
      </c>
      <c r="H15" s="3" t="n"/>
      <c r="I15" s="2" t="inlineStr">
        <is>
          <t>Team 6</t>
        </is>
      </c>
      <c r="J15" s="3" t="n"/>
      <c r="K15" s="4" t="n"/>
      <c r="L15" s="9" t="n"/>
    </row>
    <row r="16" ht="15.75" customHeight="1">
      <c r="A16" s="10" t="n"/>
      <c r="B16" s="6" t="inlineStr">
        <is>
          <t>Refs: Team 3</t>
        </is>
      </c>
      <c r="C16" s="11" t="n"/>
      <c r="D16" s="12" t="n"/>
      <c r="E16" s="13" t="n"/>
      <c r="F16" s="4" t="n"/>
      <c r="G16" s="6" t="inlineStr">
        <is>
          <t>Refs: Team 4</t>
        </is>
      </c>
      <c r="H16" s="11" t="n"/>
      <c r="I16" s="12" t="n"/>
      <c r="J16" s="13" t="n"/>
      <c r="K16" s="4" t="n"/>
      <c r="L16" s="8" t="inlineStr">
        <is>
          <t>Off: Team 1, Team 2</t>
        </is>
      </c>
    </row>
    <row r="17" ht="15.75" customHeight="1">
      <c r="A17" s="1" t="inlineStr">
        <is>
          <t>Game 09</t>
        </is>
      </c>
      <c r="B17" s="2" t="inlineStr">
        <is>
          <t>Team 1</t>
        </is>
      </c>
      <c r="C17" s="3" t="n"/>
      <c r="D17" s="2" t="inlineStr">
        <is>
          <t>Team 4</t>
        </is>
      </c>
      <c r="E17" s="3" t="n"/>
      <c r="F17" s="4" t="n"/>
      <c r="G17" s="2" t="inlineStr">
        <is>
          <t>Team 2</t>
        </is>
      </c>
      <c r="H17" s="3" t="n"/>
      <c r="I17" s="2" t="inlineStr">
        <is>
          <t>Team 3</t>
        </is>
      </c>
      <c r="J17" s="3" t="n"/>
      <c r="K17" s="4" t="n"/>
      <c r="L17" s="9" t="n"/>
    </row>
    <row r="18" ht="15.75" customHeight="1">
      <c r="A18" s="10" t="n"/>
      <c r="B18" s="6" t="inlineStr">
        <is>
          <t>Refs: Team 5</t>
        </is>
      </c>
      <c r="C18" s="11" t="n"/>
      <c r="D18" s="12" t="n"/>
      <c r="E18" s="13" t="n"/>
      <c r="F18" s="4" t="n"/>
      <c r="G18" s="6" t="inlineStr">
        <is>
          <t>Refs: Team 6</t>
        </is>
      </c>
      <c r="H18" s="11" t="n"/>
      <c r="I18" s="12" t="n"/>
      <c r="J18" s="13" t="n"/>
      <c r="K18" s="4" t="n"/>
      <c r="L18" s="8" t="inlineStr">
        <is>
          <t>Off: Team 7, Team 8</t>
        </is>
      </c>
    </row>
    <row r="19" ht="15.75" customHeight="1">
      <c r="A19" s="1" t="inlineStr">
        <is>
          <t>Game 10</t>
        </is>
      </c>
      <c r="B19" s="2" t="inlineStr">
        <is>
          <t>Team 5</t>
        </is>
      </c>
      <c r="C19" s="3" t="n"/>
      <c r="D19" s="2" t="inlineStr">
        <is>
          <t>Team 8</t>
        </is>
      </c>
      <c r="E19" s="3" t="n"/>
      <c r="F19" s="4" t="n"/>
      <c r="G19" s="2" t="inlineStr">
        <is>
          <t>Team 6</t>
        </is>
      </c>
      <c r="H19" s="3" t="n"/>
      <c r="I19" s="2" t="inlineStr">
        <is>
          <t>Team 7</t>
        </is>
      </c>
      <c r="J19" s="3" t="n"/>
      <c r="K19" s="4" t="n"/>
      <c r="L19" s="9" t="n"/>
    </row>
    <row r="20" ht="15.75" customHeight="1">
      <c r="A20" s="10" t="n"/>
      <c r="B20" s="6" t="inlineStr">
        <is>
          <t>Refs: Team 1</t>
        </is>
      </c>
      <c r="C20" s="11" t="n"/>
      <c r="D20" s="12" t="n"/>
      <c r="E20" s="13" t="n"/>
      <c r="F20" s="4" t="n"/>
      <c r="G20" s="6" t="inlineStr">
        <is>
          <t>Refs: Team 2</t>
        </is>
      </c>
      <c r="H20" s="11" t="n"/>
      <c r="I20" s="12" t="n"/>
      <c r="J20" s="13" t="n"/>
      <c r="K20" s="4" t="n"/>
      <c r="L20" s="8" t="inlineStr">
        <is>
          <t>Off: Team 3, Team 4</t>
        </is>
      </c>
    </row>
    <row r="21" ht="15.75" customHeight="1">
      <c r="A21" s="1" t="inlineStr">
        <is>
          <t>Game 11</t>
        </is>
      </c>
      <c r="B21" s="2" t="inlineStr">
        <is>
          <t>Team 1</t>
        </is>
      </c>
      <c r="C21" s="3" t="n"/>
      <c r="D21" s="2" t="inlineStr">
        <is>
          <t>Team 5</t>
        </is>
      </c>
      <c r="E21" s="3" t="n"/>
      <c r="F21" s="4" t="n"/>
      <c r="G21" s="2" t="inlineStr">
        <is>
          <t>Team 2</t>
        </is>
      </c>
      <c r="H21" s="3" t="n"/>
      <c r="I21" s="2" t="inlineStr">
        <is>
          <t>Team 6</t>
        </is>
      </c>
      <c r="J21" s="3" t="n"/>
      <c r="K21" s="4" t="n"/>
      <c r="L21" s="9" t="n"/>
    </row>
    <row r="22" ht="15.75" customHeight="1">
      <c r="A22" s="10" t="n"/>
      <c r="B22" s="6" t="inlineStr">
        <is>
          <t>Refs: Team 3</t>
        </is>
      </c>
      <c r="C22" s="11" t="n"/>
      <c r="D22" s="12" t="n"/>
      <c r="E22" s="13" t="n"/>
      <c r="F22" s="4" t="n"/>
      <c r="G22" s="6" t="inlineStr">
        <is>
          <t>Refs: Team 4</t>
        </is>
      </c>
      <c r="H22" s="11" t="n"/>
      <c r="I22" s="12" t="n"/>
      <c r="J22" s="13" t="n"/>
      <c r="K22" s="4" t="n"/>
      <c r="L22" s="8" t="inlineStr">
        <is>
          <t>Off: Team 7, Team 8</t>
        </is>
      </c>
    </row>
    <row r="23" ht="15.75" customHeight="1">
      <c r="A23" s="1" t="inlineStr">
        <is>
          <t>Game 12</t>
        </is>
      </c>
      <c r="B23" s="2" t="inlineStr">
        <is>
          <t>Team 3</t>
        </is>
      </c>
      <c r="C23" s="3" t="n"/>
      <c r="D23" s="2" t="inlineStr">
        <is>
          <t>Team 7</t>
        </is>
      </c>
      <c r="E23" s="3" t="n"/>
      <c r="F23" s="4" t="n"/>
      <c r="G23" s="2" t="inlineStr">
        <is>
          <t>Team 4</t>
        </is>
      </c>
      <c r="H23" s="3" t="n"/>
      <c r="I23" s="2" t="inlineStr">
        <is>
          <t>Team 8</t>
        </is>
      </c>
      <c r="J23" s="3" t="n"/>
      <c r="K23" s="4" t="n"/>
      <c r="L23" s="9" t="n"/>
    </row>
    <row r="24" ht="15.75" customHeight="1">
      <c r="A24" s="10" t="n"/>
      <c r="B24" s="6" t="inlineStr">
        <is>
          <t>Refs: Team 1</t>
        </is>
      </c>
      <c r="C24" s="11" t="n"/>
      <c r="D24" s="12" t="n"/>
      <c r="E24" s="13" t="n"/>
      <c r="F24" s="4" t="n"/>
      <c r="G24" s="6" t="inlineStr">
        <is>
          <t>Refs: Team 2</t>
        </is>
      </c>
      <c r="H24" s="11" t="n"/>
      <c r="I24" s="12" t="n"/>
      <c r="J24" s="13" t="n"/>
      <c r="K24" s="4" t="n"/>
      <c r="L24" s="8" t="inlineStr">
        <is>
          <t>Off: Team 5, Team 6</t>
        </is>
      </c>
    </row>
    <row r="25" ht="15.75" customHeight="1">
      <c r="A25" s="1" t="inlineStr">
        <is>
          <t>Game 13</t>
        </is>
      </c>
      <c r="B25" s="2" t="inlineStr">
        <is>
          <t>Team 5</t>
        </is>
      </c>
      <c r="C25" s="3" t="n"/>
      <c r="D25" s="2" t="inlineStr">
        <is>
          <t>Team 1</t>
        </is>
      </c>
      <c r="E25" s="3" t="n"/>
      <c r="F25" s="4" t="n"/>
      <c r="G25" s="2" t="inlineStr">
        <is>
          <t>Team 6</t>
        </is>
      </c>
      <c r="H25" s="3" t="n"/>
      <c r="I25" s="2" t="inlineStr">
        <is>
          <t>Team 2</t>
        </is>
      </c>
      <c r="J25" s="3" t="n"/>
      <c r="K25" s="4" t="n"/>
      <c r="L25" s="9" t="n"/>
    </row>
    <row r="26" ht="15.75" customHeight="1">
      <c r="A26" s="10" t="n"/>
      <c r="B26" s="6" t="inlineStr">
        <is>
          <t>Refs: Team 7</t>
        </is>
      </c>
      <c r="C26" s="11" t="n"/>
      <c r="D26" s="12" t="n"/>
      <c r="E26" s="13" t="n"/>
      <c r="F26" s="4" t="n"/>
      <c r="G26" s="6" t="inlineStr">
        <is>
          <t>Refs: Team 8</t>
        </is>
      </c>
      <c r="H26" s="11" t="n"/>
      <c r="I26" s="12" t="n"/>
      <c r="J26" s="13" t="n"/>
      <c r="K26" s="4" t="n"/>
      <c r="L26" s="8" t="inlineStr">
        <is>
          <t>Off: Team 3, Team 4</t>
        </is>
      </c>
    </row>
    <row r="27" ht="15.75" customHeight="1">
      <c r="A27" s="1" t="inlineStr">
        <is>
          <t>Game 14</t>
        </is>
      </c>
      <c r="B27" s="2" t="inlineStr">
        <is>
          <t>Team 7</t>
        </is>
      </c>
      <c r="C27" s="3" t="n"/>
      <c r="D27" s="2" t="inlineStr">
        <is>
          <t>Team 3</t>
        </is>
      </c>
      <c r="E27" s="3" t="n"/>
      <c r="F27" s="4" t="n"/>
      <c r="G27" s="2" t="inlineStr">
        <is>
          <t>Team 8</t>
        </is>
      </c>
      <c r="H27" s="3" t="n"/>
      <c r="I27" s="2" t="inlineStr">
        <is>
          <t>Team 4</t>
        </is>
      </c>
      <c r="J27" s="3" t="n"/>
      <c r="K27" s="4" t="n"/>
      <c r="L27" s="9" t="n"/>
    </row>
    <row r="28" ht="15.75" customHeight="1">
      <c r="A28" s="10" t="n"/>
      <c r="B28" s="6" t="inlineStr">
        <is>
          <t>Refs: Team 5</t>
        </is>
      </c>
      <c r="C28" s="11" t="n"/>
      <c r="D28" s="12" t="n"/>
      <c r="E28" s="13" t="n"/>
      <c r="F28" s="4" t="n"/>
      <c r="G28" s="6" t="inlineStr">
        <is>
          <t>Refs: Team 6</t>
        </is>
      </c>
      <c r="H28" s="11" t="n"/>
      <c r="I28" s="12" t="n"/>
      <c r="J28" s="13" t="n"/>
      <c r="K28" s="4" t="n"/>
      <c r="L28" s="8" t="inlineStr">
        <is>
          <t>Off: Team 1, Team 2</t>
        </is>
      </c>
    </row>
    <row r="29" ht="15.75" customHeight="1">
      <c r="A29" s="1" t="inlineStr">
        <is>
          <t>Game 15</t>
        </is>
      </c>
      <c r="B29" s="2" t="inlineStr">
        <is>
          <t>Team 6</t>
        </is>
      </c>
      <c r="C29" s="3" t="n"/>
      <c r="D29" s="2" t="inlineStr">
        <is>
          <t>Team 1</t>
        </is>
      </c>
      <c r="E29" s="3" t="n"/>
      <c r="F29" s="4" t="n"/>
      <c r="G29" s="2" t="inlineStr">
        <is>
          <t>Team 2</t>
        </is>
      </c>
      <c r="H29" s="3" t="n"/>
      <c r="I29" s="2" t="inlineStr">
        <is>
          <t>Team 5</t>
        </is>
      </c>
      <c r="J29" s="3" t="n"/>
      <c r="K29" s="4" t="n"/>
      <c r="L29" s="9" t="n"/>
    </row>
    <row r="30" ht="15.75" customHeight="1">
      <c r="A30" s="10" t="n"/>
      <c r="B30" s="6" t="inlineStr">
        <is>
          <t>Refs: Team 3</t>
        </is>
      </c>
      <c r="C30" s="11" t="n"/>
      <c r="D30" s="12" t="n"/>
      <c r="E30" s="13" t="n"/>
      <c r="F30" s="4" t="n"/>
      <c r="G30" s="6" t="inlineStr">
        <is>
          <t>Refs: Team 4</t>
        </is>
      </c>
      <c r="H30" s="11" t="n"/>
      <c r="I30" s="12" t="n"/>
      <c r="J30" s="13" t="n"/>
      <c r="K30" s="4" t="n"/>
      <c r="L30" s="8" t="inlineStr">
        <is>
          <t>Off: Team 7, Team 8</t>
        </is>
      </c>
    </row>
    <row r="31" ht="15.75" customHeight="1">
      <c r="A31" s="1" t="inlineStr">
        <is>
          <t>Game 16</t>
        </is>
      </c>
      <c r="B31" s="2" t="inlineStr">
        <is>
          <t>Team 3</t>
        </is>
      </c>
      <c r="C31" s="3" t="n"/>
      <c r="D31" s="2" t="inlineStr">
        <is>
          <t>Team 8</t>
        </is>
      </c>
      <c r="E31" s="3" t="n"/>
      <c r="F31" s="4" t="n"/>
      <c r="G31" s="2" t="inlineStr">
        <is>
          <t>Team 4</t>
        </is>
      </c>
      <c r="H31" s="3" t="n"/>
      <c r="I31" s="2" t="inlineStr">
        <is>
          <t>Team 7</t>
        </is>
      </c>
      <c r="J31" s="3" t="n"/>
      <c r="K31" s="4" t="n"/>
      <c r="L31" s="9" t="n"/>
    </row>
    <row r="32" ht="15.75" customHeight="1">
      <c r="A32" s="10" t="n"/>
      <c r="B32" s="6" t="inlineStr">
        <is>
          <t>Refs: Team 1</t>
        </is>
      </c>
      <c r="C32" s="11" t="n"/>
      <c r="D32" s="12" t="n"/>
      <c r="E32" s="13" t="n"/>
      <c r="F32" s="4" t="n"/>
      <c r="G32" s="6" t="inlineStr">
        <is>
          <t>Refs: Team 2</t>
        </is>
      </c>
      <c r="H32" s="11" t="n"/>
      <c r="I32" s="12" t="n"/>
      <c r="J32" s="13" t="n"/>
      <c r="K32" s="4" t="n"/>
      <c r="L32" s="8" t="inlineStr">
        <is>
          <t>Off: Team 5, Team 6</t>
        </is>
      </c>
    </row>
    <row r="33" ht="15.75" customHeight="1">
      <c r="A33" s="1" t="inlineStr">
        <is>
          <t>Game 17</t>
        </is>
      </c>
      <c r="B33" s="2" t="inlineStr">
        <is>
          <t>Team 7</t>
        </is>
      </c>
      <c r="C33" s="3" t="n"/>
      <c r="D33" s="2" t="inlineStr">
        <is>
          <t>Team 1</t>
        </is>
      </c>
      <c r="E33" s="3" t="n"/>
      <c r="F33" s="4" t="n"/>
      <c r="G33" s="2" t="inlineStr">
        <is>
          <t>Team 8</t>
        </is>
      </c>
      <c r="H33" s="3" t="n"/>
      <c r="I33" s="2" t="inlineStr">
        <is>
          <t>Team 2</t>
        </is>
      </c>
      <c r="J33" s="3" t="n"/>
      <c r="K33" s="4" t="n"/>
      <c r="L33" s="9" t="n"/>
    </row>
    <row r="34" ht="15.75" customHeight="1">
      <c r="A34" s="10" t="n"/>
      <c r="B34" s="6" t="inlineStr">
        <is>
          <t>Refs: Team 3</t>
        </is>
      </c>
      <c r="C34" s="11" t="n"/>
      <c r="D34" s="12" t="n"/>
      <c r="E34" s="13" t="n"/>
      <c r="F34" s="4" t="n"/>
      <c r="G34" s="6" t="inlineStr">
        <is>
          <t>Refs: Team 4</t>
        </is>
      </c>
      <c r="H34" s="11" t="n"/>
      <c r="I34" s="12" t="n"/>
      <c r="J34" s="13" t="n"/>
      <c r="K34" s="4" t="n"/>
      <c r="L34" s="8" t="inlineStr">
        <is>
          <t>Off: Team 5, Team 6</t>
        </is>
      </c>
    </row>
    <row r="35" ht="15.75" customHeight="1">
      <c r="A35" s="1" t="inlineStr">
        <is>
          <t>Game 18</t>
        </is>
      </c>
      <c r="B35" s="2" t="inlineStr">
        <is>
          <t>Team 5</t>
        </is>
      </c>
      <c r="C35" s="3" t="n"/>
      <c r="D35" s="2" t="inlineStr">
        <is>
          <t>Team 3</t>
        </is>
      </c>
      <c r="E35" s="3" t="n"/>
      <c r="F35" s="4" t="n"/>
      <c r="G35" s="2" t="inlineStr">
        <is>
          <t>Team 6</t>
        </is>
      </c>
      <c r="H35" s="3" t="n"/>
      <c r="I35" s="2" t="inlineStr">
        <is>
          <t>Team 4</t>
        </is>
      </c>
      <c r="J35" s="3" t="n"/>
      <c r="K35" s="4" t="n"/>
      <c r="L35" s="9" t="n"/>
    </row>
    <row r="36" ht="15.75" customHeight="1">
      <c r="A36" s="10" t="n"/>
      <c r="B36" s="6" t="inlineStr">
        <is>
          <t>Refs: Team 7</t>
        </is>
      </c>
      <c r="C36" s="11" t="n"/>
      <c r="D36" s="12" t="n"/>
      <c r="E36" s="13" t="n"/>
      <c r="F36" s="4" t="n"/>
      <c r="G36" s="6" t="inlineStr">
        <is>
          <t>Refs: Team 8</t>
        </is>
      </c>
      <c r="H36" s="11" t="n"/>
      <c r="I36" s="12" t="n"/>
      <c r="J36" s="13" t="n"/>
      <c r="K36" s="4" t="n"/>
      <c r="L36" s="8" t="inlineStr">
        <is>
          <t>Off: Team 1, Team 2</t>
        </is>
      </c>
    </row>
    <row r="37" ht="15.75" customHeight="1">
      <c r="A37" s="1" t="inlineStr">
        <is>
          <t>Game 19</t>
        </is>
      </c>
      <c r="B37" s="2" t="inlineStr">
        <is>
          <t>Team 8</t>
        </is>
      </c>
      <c r="C37" s="3" t="n"/>
      <c r="D37" s="2" t="inlineStr">
        <is>
          <t>Team 1</t>
        </is>
      </c>
      <c r="E37" s="3" t="n"/>
      <c r="F37" s="4" t="n"/>
      <c r="G37" s="2" t="inlineStr">
        <is>
          <t>Team 2</t>
        </is>
      </c>
      <c r="H37" s="3" t="n"/>
      <c r="I37" s="2" t="inlineStr">
        <is>
          <t>Team 7</t>
        </is>
      </c>
      <c r="J37" s="3" t="n"/>
      <c r="K37" s="4" t="n"/>
      <c r="L37" s="9" t="n"/>
    </row>
    <row r="38" ht="15.75" customHeight="1">
      <c r="A38" s="10" t="n"/>
      <c r="B38" s="6" t="inlineStr">
        <is>
          <t>Refs: Team 5</t>
        </is>
      </c>
      <c r="C38" s="11" t="n"/>
      <c r="D38" s="12" t="n"/>
      <c r="E38" s="13" t="n"/>
      <c r="F38" s="4" t="n"/>
      <c r="G38" s="6" t="inlineStr">
        <is>
          <t>Refs: Team 6</t>
        </is>
      </c>
      <c r="H38" s="11" t="n"/>
      <c r="I38" s="12" t="n"/>
      <c r="J38" s="13" t="n"/>
      <c r="K38" s="4" t="n"/>
      <c r="L38" s="8" t="inlineStr">
        <is>
          <t>Off: Team 3, Team 4</t>
        </is>
      </c>
    </row>
    <row r="39" ht="15.75" customHeight="1">
      <c r="A39" s="1" t="inlineStr">
        <is>
          <t>Game 20</t>
        </is>
      </c>
      <c r="B39" s="2" t="inlineStr">
        <is>
          <t>Team 3</t>
        </is>
      </c>
      <c r="C39" s="3" t="n"/>
      <c r="D39" s="2" t="inlineStr">
        <is>
          <t>Team 6</t>
        </is>
      </c>
      <c r="E39" s="3" t="n"/>
      <c r="F39" s="4" t="n"/>
      <c r="G39" s="2" t="inlineStr">
        <is>
          <t>Team 4</t>
        </is>
      </c>
      <c r="H39" s="3" t="n"/>
      <c r="I39" s="2" t="inlineStr">
        <is>
          <t>Team 5</t>
        </is>
      </c>
      <c r="J39" s="3" t="n"/>
      <c r="K39" s="4" t="n"/>
      <c r="L39" s="9" t="n"/>
    </row>
    <row r="40" ht="15.75" customHeight="1">
      <c r="A40" s="10" t="n"/>
      <c r="B40" s="6" t="inlineStr">
        <is>
          <t>Refs: Team 7</t>
        </is>
      </c>
      <c r="C40" s="11" t="n"/>
      <c r="D40" s="12" t="n"/>
      <c r="E40" s="13" t="n"/>
      <c r="F40" s="4" t="n"/>
      <c r="G40" s="6" t="inlineStr">
        <is>
          <t>Refs: Team 8</t>
        </is>
      </c>
      <c r="H40" s="11" t="n"/>
      <c r="I40" s="12" t="n"/>
      <c r="J40" s="13" t="n"/>
      <c r="K40" s="4" t="n"/>
      <c r="L40" s="8" t="inlineStr">
        <is>
          <t>Off: Team 1, Team 2</t>
        </is>
      </c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9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 t="n"/>
    </row>
    <row r="43">
      <c r="A43" s="14" t="inlineStr">
        <is>
          <t>Team Wins/Losses This Week</t>
        </is>
      </c>
      <c r="B43" s="4" t="n"/>
      <c r="C43" s="4" t="n"/>
      <c r="D43" s="4" t="n"/>
      <c r="E43" s="4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inlineStr">
        <is>
          <t>Team Name</t>
        </is>
      </c>
      <c r="B44" s="8" t="inlineStr">
        <is>
          <t>Wins</t>
        </is>
      </c>
      <c r="C44" s="8" t="inlineStr">
        <is>
          <t>Losses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15.75" customHeight="1">
      <c r="A45" s="8" t="inlineStr">
        <is>
          <t>Team 1</t>
        </is>
      </c>
      <c r="B45" s="8">
        <f>SUMIFS(C:C,B:B,"Team 1*")+SUMIFS(E:E,D:D,"Team 1*")+SUMIFS(H:H,G:G,"Team 1*")+SUMIFS(J:J,I:I,"Team 1*")</f>
        <v/>
      </c>
      <c r="C45" s="8">
        <f>SUMIFS(E:E,B:B,"Team 1*")+SUMIFS(C:C,D:D,"Team 1*")+SUMIFS(J:J,G:G,"Team 1*")+SUMIFS(H:H,I:I,"Team 1*")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.75" customHeight="1">
      <c r="A46" s="8" t="inlineStr">
        <is>
          <t>Team 2</t>
        </is>
      </c>
      <c r="B46" s="8">
        <f>SUMIFS(C:C,B:B,"Team 2*")+SUMIFS(E:E,D:D,"Team 2*")+SUMIFS(H:H,G:G,"Team 2*")+SUMIFS(J:J,I:I,"Team 2*")</f>
        <v/>
      </c>
      <c r="C46" s="8">
        <f>SUMIFS(E:E,B:B,"Team 2*")+SUMIFS(C:C,D:D,"Team 2*")+SUMIFS(J:J,G:G,"Team 2*")+SUMIFS(H:H,I:I,"Team 2*")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 ht="15.75" customHeight="1">
      <c r="A47" s="8" t="inlineStr">
        <is>
          <t>Team 3</t>
        </is>
      </c>
      <c r="B47" s="8">
        <f>SUMIFS(C:C,B:B,"Team 3*")+SUMIFS(E:E,D:D,"Team 3*")+SUMIFS(H:H,G:G,"Team 3*")+SUMIFS(J:J,I:I,"Team 3*")</f>
        <v/>
      </c>
      <c r="C47" s="8">
        <f>SUMIFS(E:E,B:B,"Team 3*")+SUMIFS(C:C,D:D,"Team 3*")+SUMIFS(J:J,G:G,"Team 3*")+SUMIFS(H:H,I:I,"Team 3*")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.75" customHeight="1">
      <c r="A48" s="8" t="inlineStr">
        <is>
          <t>Team 4</t>
        </is>
      </c>
      <c r="B48" s="8">
        <f>SUMIFS(C:C,B:B,"Team 4*")+SUMIFS(E:E,D:D,"Team 4*")+SUMIFS(H:H,G:G,"Team 4*")+SUMIFS(J:J,I:I,"Team 4*")</f>
        <v/>
      </c>
      <c r="C48" s="8">
        <f>SUMIFS(E:E,B:B,"Team 4*")+SUMIFS(C:C,D:D,"Team 4*")+SUMIFS(J:J,G:G,"Team 4*")+SUMIFS(H:H,I:I,"Team 4*")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.75" customHeight="1">
      <c r="A49" s="8" t="inlineStr">
        <is>
          <t>Team 5</t>
        </is>
      </c>
      <c r="B49" s="8">
        <f>SUMIFS(C:C,B:B,"Team 5*")+SUMIFS(E:E,D:D,"Team 5*")+SUMIFS(H:H,G:G,"Team 5*")+SUMIFS(J:J,I:I,"Team 5*")</f>
        <v/>
      </c>
      <c r="C49" s="8">
        <f>SUMIFS(E:E,B:B,"Team 5*")+SUMIFS(C:C,D:D,"Team 5*")+SUMIFS(J:J,G:G,"Team 5*")+SUMIFS(H:H,I:I,"Team 5*")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.75" customHeight="1">
      <c r="A50" s="8" t="inlineStr">
        <is>
          <t>Team 6</t>
        </is>
      </c>
      <c r="B50" s="8">
        <f>SUMIFS(C:C,B:B,"Team 6*")+SUMIFS(E:E,D:D,"Team 6*")+SUMIFS(H:H,G:G,"Team 6*")+SUMIFS(J:J,I:I,"Team 6*")</f>
        <v/>
      </c>
      <c r="C50" s="8">
        <f>SUMIFS(E:E,B:B,"Team 6*")+SUMIFS(C:C,D:D,"Team 6*")+SUMIFS(J:J,G:G,"Team 6*")+SUMIFS(H:H,I:I,"Team 6*")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15.75" customHeight="1">
      <c r="A51" s="8" t="inlineStr">
        <is>
          <t>Team 7</t>
        </is>
      </c>
      <c r="B51" s="8">
        <f>SUMIFS(C:C,B:B,"Team 7*")+SUMIFS(E:E,D:D,"Team 7*")+SUMIFS(H:H,G:G,"Team 7*")+SUMIFS(J:J,I:I,"Team 7*")</f>
        <v/>
      </c>
      <c r="C51" s="8">
        <f>SUMIFS(E:E,B:B,"Team 7*")+SUMIFS(C:C,D:D,"Team 7*")+SUMIFS(J:J,G:G,"Team 7*")+SUMIFS(H:H,I:I,"Team 7*")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5.75" customHeight="1">
      <c r="A52" s="8" t="inlineStr">
        <is>
          <t>Team 8</t>
        </is>
      </c>
      <c r="B52" s="8">
        <f>SUMIFS(C:C,B:B,"Team 8*")+SUMIFS(E:E,D:D,"Team 8*")+SUMIFS(H:H,G:G,"Team 8*")+SUMIFS(J:J,I:I,"Team 8*")</f>
        <v/>
      </c>
      <c r="C52" s="8">
        <f>SUMIFS(E:E,B:B,"Team 8*")+SUMIFS(C:C,D:D,"Team 8*")+SUMIFS(J:J,G:G,"Team 8*")+SUMIFS(H:H,I:I,"Team 8*")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</sheetData>
  <mergeCells count="60">
    <mergeCell ref="G38:I38"/>
    <mergeCell ref="G10:I10"/>
    <mergeCell ref="B14:D14"/>
    <mergeCell ref="G28:I28"/>
    <mergeCell ref="G6:I6"/>
    <mergeCell ref="B8:D8"/>
    <mergeCell ref="A7:A8"/>
    <mergeCell ref="G18:I18"/>
    <mergeCell ref="G34:I34"/>
    <mergeCell ref="G30:I30"/>
    <mergeCell ref="B38:D38"/>
    <mergeCell ref="B34:D34"/>
    <mergeCell ref="B10:D10"/>
    <mergeCell ref="G24:I24"/>
    <mergeCell ref="B28:D28"/>
    <mergeCell ref="A27:A28"/>
    <mergeCell ref="G14:I14"/>
    <mergeCell ref="A25:A26"/>
    <mergeCell ref="A3:A4"/>
    <mergeCell ref="B40:D40"/>
    <mergeCell ref="B2:D2"/>
    <mergeCell ref="A37:A38"/>
    <mergeCell ref="G4:I4"/>
    <mergeCell ref="G20:I20"/>
    <mergeCell ref="G26:I26"/>
    <mergeCell ref="B30:D30"/>
    <mergeCell ref="B6:D6"/>
    <mergeCell ref="B24:D24"/>
    <mergeCell ref="B20:D20"/>
    <mergeCell ref="A21:A22"/>
    <mergeCell ref="A5:A6"/>
    <mergeCell ref="G16:I16"/>
    <mergeCell ref="G32:I32"/>
    <mergeCell ref="B36:D36"/>
    <mergeCell ref="A17:A18"/>
    <mergeCell ref="G22:I22"/>
    <mergeCell ref="A13:A14"/>
    <mergeCell ref="B32:D32"/>
    <mergeCell ref="B4:D4"/>
    <mergeCell ref="A33:A34"/>
    <mergeCell ref="B26:D26"/>
    <mergeCell ref="A29:A30"/>
    <mergeCell ref="A23:A24"/>
    <mergeCell ref="G40:I40"/>
    <mergeCell ref="G12:I12"/>
    <mergeCell ref="A19:A20"/>
    <mergeCell ref="B16:D16"/>
    <mergeCell ref="A35:A36"/>
    <mergeCell ref="G2:I2"/>
    <mergeCell ref="G36:I36"/>
    <mergeCell ref="A9:A10"/>
    <mergeCell ref="B22:D22"/>
    <mergeCell ref="A39:A40"/>
    <mergeCell ref="A15:A16"/>
    <mergeCell ref="G8:I8"/>
    <mergeCell ref="B18:D18"/>
    <mergeCell ref="A31:A32"/>
    <mergeCell ref="B12:D12"/>
    <mergeCell ref="A11:A1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2026-08-21T23:53:55Z</dcterms:created>
  <dcterms:modified xsi:type="dcterms:W3CDTF">2026-08-21T23:53:56Z</dcterms:modified>
</cp:coreProperties>
</file>