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" sheetId="1" state="visible" r:id="rId1"/>
    <sheet name="Schedule Generator" sheetId="2" state="visible" r:id="rId2"/>
    <sheet name="League Standings" sheetId="3" state="visible" r:id="rId3"/>
    <sheet name="Week 1" sheetId="4" state="visible" r:id="rId4"/>
    <sheet name="Week 2" sheetId="5" state="visible" r:id="rId5"/>
    <sheet name="Week 3" sheetId="6" state="visible" r:id="rId6"/>
    <sheet name="Week 4" sheetId="7" state="visible" r:id="rId7"/>
    <sheet name="Week 5" sheetId="8" state="visible" r:id="rId8"/>
    <sheet name="Week 6" sheetId="9" state="visible" r:id="rId9"/>
  </sheets>
  <definedNames/>
  <calcPr calcId="124519" fullCalcOnLoad="1" iterate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Names</t>
        </is>
      </c>
      <c r="C1" t="inlineStr">
        <is>
          <t>Team 1</t>
        </is>
      </c>
      <c r="D1" t="inlineStr">
        <is>
          <t>Team 2</t>
        </is>
      </c>
      <c r="E1" t="inlineStr">
        <is>
          <t>Team 3</t>
        </is>
      </c>
      <c r="F1" t="inlineStr">
        <is>
          <t>Team 4</t>
        </is>
      </c>
      <c r="G1" t="inlineStr">
        <is>
          <t>Team 5</t>
        </is>
      </c>
      <c r="H1" t="inlineStr">
        <is>
          <t>Team 6</t>
        </is>
      </c>
      <c r="I1" t="inlineStr">
        <is>
          <t>Team 7</t>
        </is>
      </c>
      <c r="J1" t="inlineStr">
        <is>
          <t>Team 8</t>
        </is>
      </c>
    </row>
    <row r="2">
      <c r="A2" t="inlineStr">
        <is>
          <t>Schedule format</t>
        </is>
      </c>
      <c r="B2" t="inlineStr">
        <is>
          <t>team-ref</t>
        </is>
      </c>
    </row>
    <row r="3">
      <c r="A3" t="inlineStr">
        <is>
          <t>League</t>
        </is>
      </c>
      <c r="B3" t="inlineStr">
        <is>
          <t>Eight Team Team-Ref League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I10"/>
  <sheetViews>
    <sheetView workbookViewId="0">
      <selection activeCell="A1" sqref="A1"/>
    </sheetView>
  </sheetViews>
  <sheetFormatPr baseColWidth="8" defaultRowHeight="15"/>
  <sheetData>
    <row r="2">
      <c r="B2" t="inlineStr">
        <is>
          <t>Team 1</t>
        </is>
      </c>
      <c r="C2" t="inlineStr">
        <is>
          <t>Team 2</t>
        </is>
      </c>
      <c r="D2" t="inlineStr">
        <is>
          <t>Team 3</t>
        </is>
      </c>
      <c r="E2" t="inlineStr">
        <is>
          <t>Team 4</t>
        </is>
      </c>
      <c r="F2" t="inlineStr">
        <is>
          <t>Team 5</t>
        </is>
      </c>
      <c r="G2" t="inlineStr">
        <is>
          <t>Team 6</t>
        </is>
      </c>
      <c r="H2" t="inlineStr">
        <is>
          <t>Team 7</t>
        </is>
      </c>
      <c r="I2" t="inlineStr">
        <is>
          <t>Team 8</t>
        </is>
      </c>
    </row>
    <row r="3">
      <c r="A3" t="inlineStr">
        <is>
          <t>Team 1</t>
        </is>
      </c>
      <c r="B3" t="inlineStr">
        <is>
          <t>-</t>
        </is>
      </c>
      <c r="C3" t="n">
        <v>9</v>
      </c>
      <c r="D3" t="n">
        <v>9</v>
      </c>
      <c r="E3" t="n">
        <v>9</v>
      </c>
      <c r="F3" t="n">
        <v>9</v>
      </c>
      <c r="G3" t="n">
        <v>8</v>
      </c>
      <c r="H3" t="n">
        <v>8</v>
      </c>
      <c r="I3" t="n">
        <v>8</v>
      </c>
    </row>
    <row r="4">
      <c r="A4" t="inlineStr">
        <is>
          <t>Team 2</t>
        </is>
      </c>
      <c r="B4" t="n">
        <v>9</v>
      </c>
      <c r="C4" t="inlineStr">
        <is>
          <t>-</t>
        </is>
      </c>
      <c r="D4" t="n">
        <v>9</v>
      </c>
      <c r="E4" t="n">
        <v>9</v>
      </c>
      <c r="F4" t="n">
        <v>8</v>
      </c>
      <c r="G4" t="n">
        <v>9</v>
      </c>
      <c r="H4" t="n">
        <v>8</v>
      </c>
      <c r="I4" t="n">
        <v>8</v>
      </c>
    </row>
    <row r="5">
      <c r="A5" t="inlineStr">
        <is>
          <t>Team 3</t>
        </is>
      </c>
      <c r="B5" t="n">
        <v>9</v>
      </c>
      <c r="C5" t="n">
        <v>9</v>
      </c>
      <c r="D5" t="inlineStr">
        <is>
          <t>-</t>
        </is>
      </c>
      <c r="E5" t="n">
        <v>8</v>
      </c>
      <c r="F5" t="n">
        <v>9</v>
      </c>
      <c r="G5" t="n">
        <v>8</v>
      </c>
      <c r="H5" t="n">
        <v>9</v>
      </c>
      <c r="I5" t="n">
        <v>8</v>
      </c>
    </row>
    <row r="6">
      <c r="A6" t="inlineStr">
        <is>
          <t>Team 4</t>
        </is>
      </c>
      <c r="B6" t="n">
        <v>9</v>
      </c>
      <c r="C6" t="n">
        <v>9</v>
      </c>
      <c r="D6" t="n">
        <v>8</v>
      </c>
      <c r="E6" t="inlineStr">
        <is>
          <t>-</t>
        </is>
      </c>
      <c r="F6" t="n">
        <v>8</v>
      </c>
      <c r="G6" t="n">
        <v>9</v>
      </c>
      <c r="H6" t="n">
        <v>8</v>
      </c>
      <c r="I6" t="n">
        <v>9</v>
      </c>
    </row>
    <row r="7">
      <c r="A7" t="inlineStr">
        <is>
          <t>Team 5</t>
        </is>
      </c>
      <c r="B7" t="n">
        <v>9</v>
      </c>
      <c r="C7" t="n">
        <v>8</v>
      </c>
      <c r="D7" t="n">
        <v>9</v>
      </c>
      <c r="E7" t="n">
        <v>8</v>
      </c>
      <c r="F7" t="inlineStr">
        <is>
          <t>-</t>
        </is>
      </c>
      <c r="G7" t="n">
        <v>8</v>
      </c>
      <c r="H7" t="n">
        <v>9</v>
      </c>
      <c r="I7" t="n">
        <v>9</v>
      </c>
    </row>
    <row r="8">
      <c r="A8" t="inlineStr">
        <is>
          <t>Team 6</t>
        </is>
      </c>
      <c r="B8" t="n">
        <v>8</v>
      </c>
      <c r="C8" t="n">
        <v>9</v>
      </c>
      <c r="D8" t="n">
        <v>8</v>
      </c>
      <c r="E8" t="n">
        <v>9</v>
      </c>
      <c r="F8" t="n">
        <v>8</v>
      </c>
      <c r="G8" t="inlineStr">
        <is>
          <t>-</t>
        </is>
      </c>
      <c r="H8" t="n">
        <v>9</v>
      </c>
      <c r="I8" t="n">
        <v>9</v>
      </c>
    </row>
    <row r="9">
      <c r="A9" t="inlineStr">
        <is>
          <t>Team 7</t>
        </is>
      </c>
      <c r="B9" t="n">
        <v>8</v>
      </c>
      <c r="C9" t="n">
        <v>8</v>
      </c>
      <c r="D9" t="n">
        <v>9</v>
      </c>
      <c r="E9" t="n">
        <v>8</v>
      </c>
      <c r="F9" t="n">
        <v>9</v>
      </c>
      <c r="G9" t="n">
        <v>9</v>
      </c>
      <c r="H9" t="inlineStr">
        <is>
          <t>-</t>
        </is>
      </c>
      <c r="I9" t="n">
        <v>9</v>
      </c>
    </row>
    <row r="10">
      <c r="A10" t="inlineStr">
        <is>
          <t>Team 8</t>
        </is>
      </c>
      <c r="B10" t="n">
        <v>8</v>
      </c>
      <c r="C10" t="n">
        <v>8</v>
      </c>
      <c r="D10" t="n">
        <v>8</v>
      </c>
      <c r="E10" t="n">
        <v>9</v>
      </c>
      <c r="F10" t="n">
        <v>9</v>
      </c>
      <c r="G10" t="n">
        <v>9</v>
      </c>
      <c r="H10" t="n">
        <v>9</v>
      </c>
      <c r="I10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LEAGUE STANDINGS</t>
        </is>
      </c>
    </row>
    <row r="2">
      <c r="A2" t="inlineStr">
        <is>
          <t>Team Name</t>
        </is>
      </c>
      <c r="B2" t="inlineStr">
        <is>
          <t>Points For</t>
        </is>
      </c>
      <c r="C2" t="inlineStr">
        <is>
          <t>Points Against</t>
        </is>
      </c>
      <c r="D2" t="inlineStr">
        <is>
          <t>Point Differential</t>
        </is>
      </c>
    </row>
    <row r="3">
      <c r="A3">
        <f>INDEX(A17:A24,MATCH(ROUND(LARGE(C17:C24,1),8),C17:C24,0))</f>
        <v/>
      </c>
      <c r="B3">
        <f>INDEX(B17:B24,MATCH(ROUND(LARGE(C17:C24,1),8),C17:C24,0))</f>
        <v/>
      </c>
      <c r="C3">
        <f>INDEX(E17:E24,MATCH(ROUND(LARGE(C17:C24,1),8),C17:C24,0))</f>
        <v/>
      </c>
      <c r="D3">
        <f>B3-C3</f>
        <v/>
      </c>
    </row>
    <row r="4">
      <c r="A4">
        <f>INDEX(A17:A24,MATCH(ROUND(LARGE(C17:C24,2),8),C17:C24,0))</f>
        <v/>
      </c>
      <c r="B4">
        <f>INDEX(B17:B24,MATCH(ROUND(LARGE(C17:C24,2),8),C17:C24,0))</f>
        <v/>
      </c>
      <c r="C4">
        <f>INDEX(E17:E24,MATCH(ROUND(LARGE(C17:C24,2),8),C17:C24,0))</f>
        <v/>
      </c>
      <c r="D4">
        <f>B4-C4</f>
        <v/>
      </c>
    </row>
    <row r="5">
      <c r="A5">
        <f>INDEX(A17:A24,MATCH(ROUND(LARGE(C17:C24,3),8),C17:C24,0))</f>
        <v/>
      </c>
      <c r="B5">
        <f>INDEX(B17:B24,MATCH(ROUND(LARGE(C17:C24,3),8),C17:C24,0))</f>
        <v/>
      </c>
      <c r="C5">
        <f>INDEX(E17:E24,MATCH(ROUND(LARGE(C17:C24,3),8),C17:C24,0))</f>
        <v/>
      </c>
      <c r="D5">
        <f>B5-C5</f>
        <v/>
      </c>
    </row>
    <row r="6">
      <c r="A6">
        <f>INDEX(A17:A24,MATCH(ROUND(LARGE(C17:C24,4),8),C17:C24,0))</f>
        <v/>
      </c>
      <c r="B6">
        <f>INDEX(B17:B24,MATCH(ROUND(LARGE(C17:C24,4),8),C17:C24,0))</f>
        <v/>
      </c>
      <c r="C6">
        <f>INDEX(E17:E24,MATCH(ROUND(LARGE(C17:C24,4),8),C17:C24,0))</f>
        <v/>
      </c>
      <c r="D6">
        <f>B6-C6</f>
        <v/>
      </c>
    </row>
    <row r="7">
      <c r="A7">
        <f>INDEX(A17:A24,MATCH(ROUND(LARGE(C17:C24,5),8),C17:C24,0))</f>
        <v/>
      </c>
      <c r="B7">
        <f>INDEX(B17:B24,MATCH(ROUND(LARGE(C17:C24,5),8),C17:C24,0))</f>
        <v/>
      </c>
      <c r="C7">
        <f>INDEX(E17:E24,MATCH(ROUND(LARGE(C17:C24,5),8),C17:C24,0))</f>
        <v/>
      </c>
      <c r="D7">
        <f>B7-C7</f>
        <v/>
      </c>
    </row>
    <row r="8">
      <c r="A8">
        <f>INDEX(A17:A24,MATCH(ROUND(LARGE(C17:C24,6),8),C17:C24,0))</f>
        <v/>
      </c>
      <c r="B8">
        <f>INDEX(B17:B24,MATCH(ROUND(LARGE(C17:C24,6),8),C17:C24,0))</f>
        <v/>
      </c>
      <c r="C8">
        <f>INDEX(E17:E24,MATCH(ROUND(LARGE(C17:C24,6),8),C17:C24,0))</f>
        <v/>
      </c>
      <c r="D8">
        <f>B8-C8</f>
        <v/>
      </c>
    </row>
    <row r="9">
      <c r="A9">
        <f>INDEX(A17:A24,MATCH(ROUND(LARGE(C17:C24,7),8),C17:C24,0))</f>
        <v/>
      </c>
      <c r="B9">
        <f>INDEX(B17:B24,MATCH(ROUND(LARGE(C17:C24,7),8),C17:C24,0))</f>
        <v/>
      </c>
      <c r="C9">
        <f>INDEX(E17:E24,MATCH(ROUND(LARGE(C17:C24,7),8),C17:C24,0))</f>
        <v/>
      </c>
      <c r="D9">
        <f>B9-C9</f>
        <v/>
      </c>
    </row>
    <row r="10">
      <c r="A10">
        <f>INDEX(A17:A24,MATCH(ROUND(LARGE(C17:C24,8),8),C17:C24,0))</f>
        <v/>
      </c>
      <c r="B10">
        <f>INDEX(B17:B24,MATCH(ROUND(LARGE(C17:C24,8),8),C17:C24,0))</f>
        <v/>
      </c>
      <c r="C10">
        <f>INDEX(E17:E24,MATCH(ROUND(LARGE(C17:C24,8),8),C17:C24,0))</f>
        <v/>
      </c>
      <c r="D10">
        <f>B10-C10</f>
        <v/>
      </c>
    </row>
    <row r="11">
      <c r="A11" t="inlineStr">
        <is>
          <t>Week #</t>
        </is>
      </c>
      <c r="B11" t="n">
        <v>0</v>
      </c>
    </row>
    <row r="16">
      <c r="A16" t="inlineStr">
        <is>
          <t>Teams</t>
        </is>
      </c>
      <c r="B16" t="inlineStr">
        <is>
          <t>Wins</t>
        </is>
      </c>
      <c r="E16" t="inlineStr">
        <is>
          <t>Losses</t>
        </is>
      </c>
    </row>
    <row r="17">
      <c r="A17" t="inlineStr">
        <is>
          <t>Team 1</t>
        </is>
      </c>
      <c r="B17">
        <f>'Week 1'!B44+'Week 2'!B44+'Week 3'!B44+'Week 4'!B44+'Week 5'!B44+'Week 6'!B44</f>
        <v/>
      </c>
      <c r="C17">
        <f>ROUND(B17+17/10000,8)</f>
        <v/>
      </c>
      <c r="E17">
        <f>'Week 1'!C44+'Week 2'!C44+'Week 3'!C44+'Week 4'!C44+'Week 5'!C44+'Week 6'!C44</f>
        <v/>
      </c>
    </row>
    <row r="18">
      <c r="A18" t="inlineStr">
        <is>
          <t>Team 2</t>
        </is>
      </c>
      <c r="B18">
        <f>'Week 1'!B45+'Week 2'!B45+'Week 3'!B45+'Week 4'!B45+'Week 5'!B45+'Week 6'!B45</f>
        <v/>
      </c>
      <c r="C18">
        <f>ROUND(B18+18/10000,8)</f>
        <v/>
      </c>
      <c r="E18">
        <f>'Week 1'!C45+'Week 2'!C45+'Week 3'!C45+'Week 4'!C45+'Week 5'!C45+'Week 6'!C45</f>
        <v/>
      </c>
    </row>
    <row r="19">
      <c r="A19" t="inlineStr">
        <is>
          <t>Team 3</t>
        </is>
      </c>
      <c r="B19">
        <f>'Week 1'!B46+'Week 2'!B46+'Week 3'!B46+'Week 4'!B46+'Week 5'!B46+'Week 6'!B46</f>
        <v/>
      </c>
      <c r="C19">
        <f>ROUND(B19+19/10000,8)</f>
        <v/>
      </c>
      <c r="E19">
        <f>'Week 1'!C46+'Week 2'!C46+'Week 3'!C46+'Week 4'!C46+'Week 5'!C46+'Week 6'!C46</f>
        <v/>
      </c>
    </row>
    <row r="20">
      <c r="A20" t="inlineStr">
        <is>
          <t>Team 4</t>
        </is>
      </c>
      <c r="B20">
        <f>'Week 1'!B47+'Week 2'!B47+'Week 3'!B47+'Week 4'!B47+'Week 5'!B47+'Week 6'!B47</f>
        <v/>
      </c>
      <c r="C20">
        <f>ROUND(B20+20/10000,8)</f>
        <v/>
      </c>
      <c r="E20">
        <f>'Week 1'!C47+'Week 2'!C47+'Week 3'!C47+'Week 4'!C47+'Week 5'!C47+'Week 6'!C47</f>
        <v/>
      </c>
    </row>
    <row r="21">
      <c r="A21" t="inlineStr">
        <is>
          <t>Team 5</t>
        </is>
      </c>
      <c r="B21">
        <f>'Week 1'!B48+'Week 2'!B48+'Week 3'!B48+'Week 4'!B48+'Week 5'!B48+'Week 6'!B48</f>
        <v/>
      </c>
      <c r="C21">
        <f>ROUND(B21+21/10000,8)</f>
        <v/>
      </c>
      <c r="E21">
        <f>'Week 1'!C48+'Week 2'!C48+'Week 3'!C48+'Week 4'!C48+'Week 5'!C48+'Week 6'!C48</f>
        <v/>
      </c>
    </row>
    <row r="22">
      <c r="A22" t="inlineStr">
        <is>
          <t>Team 6</t>
        </is>
      </c>
      <c r="B22">
        <f>'Week 1'!B49+'Week 2'!B49+'Week 3'!B49+'Week 4'!B49+'Week 5'!B49+'Week 6'!B49</f>
        <v/>
      </c>
      <c r="C22">
        <f>ROUND(B22+22/10000,8)</f>
        <v/>
      </c>
      <c r="E22">
        <f>'Week 1'!C49+'Week 2'!C49+'Week 3'!C49+'Week 4'!C49+'Week 5'!C49+'Week 6'!C49</f>
        <v/>
      </c>
    </row>
    <row r="23">
      <c r="A23" t="inlineStr">
        <is>
          <t>Team 7</t>
        </is>
      </c>
      <c r="B23">
        <f>'Week 1'!B50+'Week 2'!B50+'Week 3'!B50+'Week 4'!B50+'Week 5'!B50+'Week 6'!B50</f>
        <v/>
      </c>
      <c r="C23">
        <f>ROUND(B23+23/10000,8)</f>
        <v/>
      </c>
      <c r="E23">
        <f>'Week 1'!C50+'Week 2'!C50+'Week 3'!C50+'Week 4'!C50+'Week 5'!C50+'Week 6'!C50</f>
        <v/>
      </c>
    </row>
    <row r="24">
      <c r="A24" t="inlineStr">
        <is>
          <t>Team 8</t>
        </is>
      </c>
      <c r="B24">
        <f>'Week 1'!B51+'Week 2'!B51+'Week 3'!B51+'Week 4'!B51+'Week 5'!B51+'Week 6'!B51</f>
        <v/>
      </c>
      <c r="C24">
        <f>ROUND(B24+24/10000,8)</f>
        <v/>
      </c>
      <c r="E24">
        <f>'Week 1'!C51+'Week 2'!C51+'Week 3'!C51+'Week 4'!C51+'Week 5'!C51+'Week 6'!C51</f>
        <v/>
      </c>
    </row>
    <row r="25"/>
    <row r="26"/>
    <row r="27">
      <c r="A27" t="inlineStr">
        <is>
          <t>Head-to-head wins (row vs column; higher score wins the game)</t>
        </is>
      </c>
    </row>
    <row r="28">
      <c r="A28" t="inlineStr"/>
      <c r="B28" t="inlineStr">
        <is>
          <t>Team 1</t>
        </is>
      </c>
      <c r="C28" t="inlineStr">
        <is>
          <t>Team 2</t>
        </is>
      </c>
      <c r="D28" t="inlineStr">
        <is>
          <t>Team 3</t>
        </is>
      </c>
      <c r="E28" t="inlineStr">
        <is>
          <t>Team 4</t>
        </is>
      </c>
      <c r="F28" t="inlineStr">
        <is>
          <t>Team 5</t>
        </is>
      </c>
      <c r="G28" t="inlineStr">
        <is>
          <t>Team 6</t>
        </is>
      </c>
      <c r="H28" t="inlineStr">
        <is>
          <t>Team 7</t>
        </is>
      </c>
      <c r="I28" t="inlineStr">
        <is>
          <t>Team 8</t>
        </is>
      </c>
    </row>
    <row r="29">
      <c r="A29" t="inlineStr">
        <is>
          <t>Team 1</t>
        </is>
      </c>
      <c r="B29" t="inlineStr">
        <is>
          <t>—</t>
        </is>
      </c>
      <c r="C29">
        <f>(SUMPRODUCT(--('Week 1'!$B$2:$B$500=$A29),--('Week 1'!$D$2:$D$500=$C$28),--('Week 1'!$C$2:$C$500&gt;'Week 1'!$E$2:$E$500))+SUMPRODUCT(--('Week 1'!$B$2:$B$500=$C$28),--('Week 1'!$D$2:$D$500=$A29),--('Week 1'!$E$2:$E$500&gt;'Week 1'!$C$2:$C$500)))+(SUMPRODUCT(--('Week 1'!$G$2:$G$500=$A29),--('Week 1'!$I$2:$I$500=$C$28),--('Week 1'!$H$2:$H$500&gt;'Week 1'!$J$2:$J$500))+SUMPRODUCT(--('Week 1'!$G$2:$G$500=$C$28),--('Week 1'!$I$2:$I$500=$A29),--('Week 1'!$J$2:$J$500&gt;'Week 1'!$H$2:$H$500)))+(SUMPRODUCT(--('Week 2'!$B$2:$B$500=$A29),--('Week 2'!$D$2:$D$500=$C$28),--('Week 2'!$C$2:$C$500&gt;'Week 2'!$E$2:$E$500))+SUMPRODUCT(--('Week 2'!$B$2:$B$500=$C$28),--('Week 2'!$D$2:$D$500=$A29),--('Week 2'!$E$2:$E$500&gt;'Week 2'!$C$2:$C$500)))+(SUMPRODUCT(--('Week 2'!$G$2:$G$500=$A29),--('Week 2'!$I$2:$I$500=$C$28),--('Week 2'!$H$2:$H$500&gt;'Week 2'!$J$2:$J$500))+SUMPRODUCT(--('Week 2'!$G$2:$G$500=$C$28),--('Week 2'!$I$2:$I$500=$A29),--('Week 2'!$J$2:$J$500&gt;'Week 2'!$H$2:$H$500)))+(SUMPRODUCT(--('Week 3'!$B$2:$B$500=$A29),--('Week 3'!$D$2:$D$500=$C$28),--('Week 3'!$C$2:$C$500&gt;'Week 3'!$E$2:$E$500))+SUMPRODUCT(--('Week 3'!$B$2:$B$500=$C$28),--('Week 3'!$D$2:$D$500=$A29),--('Week 3'!$E$2:$E$500&gt;'Week 3'!$C$2:$C$500)))+(SUMPRODUCT(--('Week 3'!$G$2:$G$500=$A29),--('Week 3'!$I$2:$I$500=$C$28),--('Week 3'!$H$2:$H$500&gt;'Week 3'!$J$2:$J$500))+SUMPRODUCT(--('Week 3'!$G$2:$G$500=$C$28),--('Week 3'!$I$2:$I$500=$A29),--('Week 3'!$J$2:$J$500&gt;'Week 3'!$H$2:$H$500)))+(SUMPRODUCT(--('Week 4'!$B$2:$B$500=$A29),--('Week 4'!$D$2:$D$500=$C$28),--('Week 4'!$C$2:$C$500&gt;'Week 4'!$E$2:$E$500))+SUMPRODUCT(--('Week 4'!$B$2:$B$500=$C$28),--('Week 4'!$D$2:$D$500=$A29),--('Week 4'!$E$2:$E$500&gt;'Week 4'!$C$2:$C$500)))+(SUMPRODUCT(--('Week 4'!$G$2:$G$500=$A29),--('Week 4'!$I$2:$I$500=$C$28),--('Week 4'!$H$2:$H$500&gt;'Week 4'!$J$2:$J$500))+SUMPRODUCT(--('Week 4'!$G$2:$G$500=$C$28),--('Week 4'!$I$2:$I$500=$A29),--('Week 4'!$J$2:$J$500&gt;'Week 4'!$H$2:$H$500)))+(SUMPRODUCT(--('Week 5'!$B$2:$B$500=$A29),--('Week 5'!$D$2:$D$500=$C$28),--('Week 5'!$C$2:$C$500&gt;'Week 5'!$E$2:$E$500))+SUMPRODUCT(--('Week 5'!$B$2:$B$500=$C$28),--('Week 5'!$D$2:$D$500=$A29),--('Week 5'!$E$2:$E$500&gt;'Week 5'!$C$2:$C$500)))+(SUMPRODUCT(--('Week 5'!$G$2:$G$500=$A29),--('Week 5'!$I$2:$I$500=$C$28),--('Week 5'!$H$2:$H$500&gt;'Week 5'!$J$2:$J$500))+SUMPRODUCT(--('Week 5'!$G$2:$G$500=$C$28),--('Week 5'!$I$2:$I$500=$A29),--('Week 5'!$J$2:$J$500&gt;'Week 5'!$H$2:$H$500)))+(SUMPRODUCT(--('Week 6'!$B$2:$B$500=$A29),--('Week 6'!$D$2:$D$500=$C$28),--('Week 6'!$C$2:$C$500&gt;'Week 6'!$E$2:$E$500))+SUMPRODUCT(--('Week 6'!$B$2:$B$500=$C$28),--('Week 6'!$D$2:$D$500=$A29),--('Week 6'!$E$2:$E$500&gt;'Week 6'!$C$2:$C$500)))+(SUMPRODUCT(--('Week 6'!$G$2:$G$500=$A29),--('Week 6'!$I$2:$I$500=$C$28),--('Week 6'!$H$2:$H$500&gt;'Week 6'!$J$2:$J$500))+SUMPRODUCT(--('Week 6'!$G$2:$G$500=$C$28),--('Week 6'!$I$2:$I$500=$A29),--('Week 6'!$J$2:$J$500&gt;'Week 6'!$H$2:$H$500)))</f>
        <v/>
      </c>
      <c r="D29">
        <f>(SUMPRODUCT(--('Week 1'!$B$2:$B$500=$A29),--('Week 1'!$D$2:$D$500=$D$28),--('Week 1'!$C$2:$C$500&gt;'Week 1'!$E$2:$E$500))+SUMPRODUCT(--('Week 1'!$B$2:$B$500=$D$28),--('Week 1'!$D$2:$D$500=$A29),--('Week 1'!$E$2:$E$500&gt;'Week 1'!$C$2:$C$500)))+(SUMPRODUCT(--('Week 1'!$G$2:$G$500=$A29),--('Week 1'!$I$2:$I$500=$D$28),--('Week 1'!$H$2:$H$500&gt;'Week 1'!$J$2:$J$500))+SUMPRODUCT(--('Week 1'!$G$2:$G$500=$D$28),--('Week 1'!$I$2:$I$500=$A29),--('Week 1'!$J$2:$J$500&gt;'Week 1'!$H$2:$H$500)))+(SUMPRODUCT(--('Week 2'!$B$2:$B$500=$A29),--('Week 2'!$D$2:$D$500=$D$28),--('Week 2'!$C$2:$C$500&gt;'Week 2'!$E$2:$E$500))+SUMPRODUCT(--('Week 2'!$B$2:$B$500=$D$28),--('Week 2'!$D$2:$D$500=$A29),--('Week 2'!$E$2:$E$500&gt;'Week 2'!$C$2:$C$500)))+(SUMPRODUCT(--('Week 2'!$G$2:$G$500=$A29),--('Week 2'!$I$2:$I$500=$D$28),--('Week 2'!$H$2:$H$500&gt;'Week 2'!$J$2:$J$500))+SUMPRODUCT(--('Week 2'!$G$2:$G$500=$D$28),--('Week 2'!$I$2:$I$500=$A29),--('Week 2'!$J$2:$J$500&gt;'Week 2'!$H$2:$H$500)))+(SUMPRODUCT(--('Week 3'!$B$2:$B$500=$A29),--('Week 3'!$D$2:$D$500=$D$28),--('Week 3'!$C$2:$C$500&gt;'Week 3'!$E$2:$E$500))+SUMPRODUCT(--('Week 3'!$B$2:$B$500=$D$28),--('Week 3'!$D$2:$D$500=$A29),--('Week 3'!$E$2:$E$500&gt;'Week 3'!$C$2:$C$500)))+(SUMPRODUCT(--('Week 3'!$G$2:$G$500=$A29),--('Week 3'!$I$2:$I$500=$D$28),--('Week 3'!$H$2:$H$500&gt;'Week 3'!$J$2:$J$500))+SUMPRODUCT(--('Week 3'!$G$2:$G$500=$D$28),--('Week 3'!$I$2:$I$500=$A29),--('Week 3'!$J$2:$J$500&gt;'Week 3'!$H$2:$H$500)))+(SUMPRODUCT(--('Week 4'!$B$2:$B$500=$A29),--('Week 4'!$D$2:$D$500=$D$28),--('Week 4'!$C$2:$C$500&gt;'Week 4'!$E$2:$E$500))+SUMPRODUCT(--('Week 4'!$B$2:$B$500=$D$28),--('Week 4'!$D$2:$D$500=$A29),--('Week 4'!$E$2:$E$500&gt;'Week 4'!$C$2:$C$500)))+(SUMPRODUCT(--('Week 4'!$G$2:$G$500=$A29),--('Week 4'!$I$2:$I$500=$D$28),--('Week 4'!$H$2:$H$500&gt;'Week 4'!$J$2:$J$500))+SUMPRODUCT(--('Week 4'!$G$2:$G$500=$D$28),--('Week 4'!$I$2:$I$500=$A29),--('Week 4'!$J$2:$J$500&gt;'Week 4'!$H$2:$H$500)))+(SUMPRODUCT(--('Week 5'!$B$2:$B$500=$A29),--('Week 5'!$D$2:$D$500=$D$28),--('Week 5'!$C$2:$C$500&gt;'Week 5'!$E$2:$E$500))+SUMPRODUCT(--('Week 5'!$B$2:$B$500=$D$28),--('Week 5'!$D$2:$D$500=$A29),--('Week 5'!$E$2:$E$500&gt;'Week 5'!$C$2:$C$500)))+(SUMPRODUCT(--('Week 5'!$G$2:$G$500=$A29),--('Week 5'!$I$2:$I$500=$D$28),--('Week 5'!$H$2:$H$500&gt;'Week 5'!$J$2:$J$500))+SUMPRODUCT(--('Week 5'!$G$2:$G$500=$D$28),--('Week 5'!$I$2:$I$500=$A29),--('Week 5'!$J$2:$J$500&gt;'Week 5'!$H$2:$H$500)))+(SUMPRODUCT(--('Week 6'!$B$2:$B$500=$A29),--('Week 6'!$D$2:$D$500=$D$28),--('Week 6'!$C$2:$C$500&gt;'Week 6'!$E$2:$E$500))+SUMPRODUCT(--('Week 6'!$B$2:$B$500=$D$28),--('Week 6'!$D$2:$D$500=$A29),--('Week 6'!$E$2:$E$500&gt;'Week 6'!$C$2:$C$500)))+(SUMPRODUCT(--('Week 6'!$G$2:$G$500=$A29),--('Week 6'!$I$2:$I$500=$D$28),--('Week 6'!$H$2:$H$500&gt;'Week 6'!$J$2:$J$500))+SUMPRODUCT(--('Week 6'!$G$2:$G$500=$D$28),--('Week 6'!$I$2:$I$500=$A29),--('Week 6'!$J$2:$J$500&gt;'Week 6'!$H$2:$H$500)))</f>
        <v/>
      </c>
      <c r="E29">
        <f>(SUMPRODUCT(--('Week 1'!$B$2:$B$500=$A29),--('Week 1'!$D$2:$D$500=$E$28),--('Week 1'!$C$2:$C$500&gt;'Week 1'!$E$2:$E$500))+SUMPRODUCT(--('Week 1'!$B$2:$B$500=$E$28),--('Week 1'!$D$2:$D$500=$A29),--('Week 1'!$E$2:$E$500&gt;'Week 1'!$C$2:$C$500)))+(SUMPRODUCT(--('Week 1'!$G$2:$G$500=$A29),--('Week 1'!$I$2:$I$500=$E$28),--('Week 1'!$H$2:$H$500&gt;'Week 1'!$J$2:$J$500))+SUMPRODUCT(--('Week 1'!$G$2:$G$500=$E$28),--('Week 1'!$I$2:$I$500=$A29),--('Week 1'!$J$2:$J$500&gt;'Week 1'!$H$2:$H$500)))+(SUMPRODUCT(--('Week 2'!$B$2:$B$500=$A29),--('Week 2'!$D$2:$D$500=$E$28),--('Week 2'!$C$2:$C$500&gt;'Week 2'!$E$2:$E$500))+SUMPRODUCT(--('Week 2'!$B$2:$B$500=$E$28),--('Week 2'!$D$2:$D$500=$A29),--('Week 2'!$E$2:$E$500&gt;'Week 2'!$C$2:$C$500)))+(SUMPRODUCT(--('Week 2'!$G$2:$G$500=$A29),--('Week 2'!$I$2:$I$500=$E$28),--('Week 2'!$H$2:$H$500&gt;'Week 2'!$J$2:$J$500))+SUMPRODUCT(--('Week 2'!$G$2:$G$500=$E$28),--('Week 2'!$I$2:$I$500=$A29),--('Week 2'!$J$2:$J$500&gt;'Week 2'!$H$2:$H$500)))+(SUMPRODUCT(--('Week 3'!$B$2:$B$500=$A29),--('Week 3'!$D$2:$D$500=$E$28),--('Week 3'!$C$2:$C$500&gt;'Week 3'!$E$2:$E$500))+SUMPRODUCT(--('Week 3'!$B$2:$B$500=$E$28),--('Week 3'!$D$2:$D$500=$A29),--('Week 3'!$E$2:$E$500&gt;'Week 3'!$C$2:$C$500)))+(SUMPRODUCT(--('Week 3'!$G$2:$G$500=$A29),--('Week 3'!$I$2:$I$500=$E$28),--('Week 3'!$H$2:$H$500&gt;'Week 3'!$J$2:$J$500))+SUMPRODUCT(--('Week 3'!$G$2:$G$500=$E$28),--('Week 3'!$I$2:$I$500=$A29),--('Week 3'!$J$2:$J$500&gt;'Week 3'!$H$2:$H$500)))+(SUMPRODUCT(--('Week 4'!$B$2:$B$500=$A29),--('Week 4'!$D$2:$D$500=$E$28),--('Week 4'!$C$2:$C$500&gt;'Week 4'!$E$2:$E$500))+SUMPRODUCT(--('Week 4'!$B$2:$B$500=$E$28),--('Week 4'!$D$2:$D$500=$A29),--('Week 4'!$E$2:$E$500&gt;'Week 4'!$C$2:$C$500)))+(SUMPRODUCT(--('Week 4'!$G$2:$G$500=$A29),--('Week 4'!$I$2:$I$500=$E$28),--('Week 4'!$H$2:$H$500&gt;'Week 4'!$J$2:$J$500))+SUMPRODUCT(--('Week 4'!$G$2:$G$500=$E$28),--('Week 4'!$I$2:$I$500=$A29),--('Week 4'!$J$2:$J$500&gt;'Week 4'!$H$2:$H$500)))+(SUMPRODUCT(--('Week 5'!$B$2:$B$500=$A29),--('Week 5'!$D$2:$D$500=$E$28),--('Week 5'!$C$2:$C$500&gt;'Week 5'!$E$2:$E$500))+SUMPRODUCT(--('Week 5'!$B$2:$B$500=$E$28),--('Week 5'!$D$2:$D$500=$A29),--('Week 5'!$E$2:$E$500&gt;'Week 5'!$C$2:$C$500)))+(SUMPRODUCT(--('Week 5'!$G$2:$G$500=$A29),--('Week 5'!$I$2:$I$500=$E$28),--('Week 5'!$H$2:$H$500&gt;'Week 5'!$J$2:$J$500))+SUMPRODUCT(--('Week 5'!$G$2:$G$500=$E$28),--('Week 5'!$I$2:$I$500=$A29),--('Week 5'!$J$2:$J$500&gt;'Week 5'!$H$2:$H$500)))+(SUMPRODUCT(--('Week 6'!$B$2:$B$500=$A29),--('Week 6'!$D$2:$D$500=$E$28),--('Week 6'!$C$2:$C$500&gt;'Week 6'!$E$2:$E$500))+SUMPRODUCT(--('Week 6'!$B$2:$B$500=$E$28),--('Week 6'!$D$2:$D$500=$A29),--('Week 6'!$E$2:$E$500&gt;'Week 6'!$C$2:$C$500)))+(SUMPRODUCT(--('Week 6'!$G$2:$G$500=$A29),--('Week 6'!$I$2:$I$500=$E$28),--('Week 6'!$H$2:$H$500&gt;'Week 6'!$J$2:$J$500))+SUMPRODUCT(--('Week 6'!$G$2:$G$500=$E$28),--('Week 6'!$I$2:$I$500=$A29),--('Week 6'!$J$2:$J$500&gt;'Week 6'!$H$2:$H$500)))</f>
        <v/>
      </c>
      <c r="F29">
        <f>(SUMPRODUCT(--('Week 1'!$B$2:$B$500=$A29),--('Week 1'!$D$2:$D$500=$F$28),--('Week 1'!$C$2:$C$500&gt;'Week 1'!$E$2:$E$500))+SUMPRODUCT(--('Week 1'!$B$2:$B$500=$F$28),--('Week 1'!$D$2:$D$500=$A29),--('Week 1'!$E$2:$E$500&gt;'Week 1'!$C$2:$C$500)))+(SUMPRODUCT(--('Week 1'!$G$2:$G$500=$A29),--('Week 1'!$I$2:$I$500=$F$28),--('Week 1'!$H$2:$H$500&gt;'Week 1'!$J$2:$J$500))+SUMPRODUCT(--('Week 1'!$G$2:$G$500=$F$28),--('Week 1'!$I$2:$I$500=$A29),--('Week 1'!$J$2:$J$500&gt;'Week 1'!$H$2:$H$500)))+(SUMPRODUCT(--('Week 2'!$B$2:$B$500=$A29),--('Week 2'!$D$2:$D$500=$F$28),--('Week 2'!$C$2:$C$500&gt;'Week 2'!$E$2:$E$500))+SUMPRODUCT(--('Week 2'!$B$2:$B$500=$F$28),--('Week 2'!$D$2:$D$500=$A29),--('Week 2'!$E$2:$E$500&gt;'Week 2'!$C$2:$C$500)))+(SUMPRODUCT(--('Week 2'!$G$2:$G$500=$A29),--('Week 2'!$I$2:$I$500=$F$28),--('Week 2'!$H$2:$H$500&gt;'Week 2'!$J$2:$J$500))+SUMPRODUCT(--('Week 2'!$G$2:$G$500=$F$28),--('Week 2'!$I$2:$I$500=$A29),--('Week 2'!$J$2:$J$500&gt;'Week 2'!$H$2:$H$500)))+(SUMPRODUCT(--('Week 3'!$B$2:$B$500=$A29),--('Week 3'!$D$2:$D$500=$F$28),--('Week 3'!$C$2:$C$500&gt;'Week 3'!$E$2:$E$500))+SUMPRODUCT(--('Week 3'!$B$2:$B$500=$F$28),--('Week 3'!$D$2:$D$500=$A29),--('Week 3'!$E$2:$E$500&gt;'Week 3'!$C$2:$C$500)))+(SUMPRODUCT(--('Week 3'!$G$2:$G$500=$A29),--('Week 3'!$I$2:$I$500=$F$28),--('Week 3'!$H$2:$H$500&gt;'Week 3'!$J$2:$J$500))+SUMPRODUCT(--('Week 3'!$G$2:$G$500=$F$28),--('Week 3'!$I$2:$I$500=$A29),--('Week 3'!$J$2:$J$500&gt;'Week 3'!$H$2:$H$500)))+(SUMPRODUCT(--('Week 4'!$B$2:$B$500=$A29),--('Week 4'!$D$2:$D$500=$F$28),--('Week 4'!$C$2:$C$500&gt;'Week 4'!$E$2:$E$500))+SUMPRODUCT(--('Week 4'!$B$2:$B$500=$F$28),--('Week 4'!$D$2:$D$500=$A29),--('Week 4'!$E$2:$E$500&gt;'Week 4'!$C$2:$C$500)))+(SUMPRODUCT(--('Week 4'!$G$2:$G$500=$A29),--('Week 4'!$I$2:$I$500=$F$28),--('Week 4'!$H$2:$H$500&gt;'Week 4'!$J$2:$J$500))+SUMPRODUCT(--('Week 4'!$G$2:$G$500=$F$28),--('Week 4'!$I$2:$I$500=$A29),--('Week 4'!$J$2:$J$500&gt;'Week 4'!$H$2:$H$500)))+(SUMPRODUCT(--('Week 5'!$B$2:$B$500=$A29),--('Week 5'!$D$2:$D$500=$F$28),--('Week 5'!$C$2:$C$500&gt;'Week 5'!$E$2:$E$500))+SUMPRODUCT(--('Week 5'!$B$2:$B$500=$F$28),--('Week 5'!$D$2:$D$500=$A29),--('Week 5'!$E$2:$E$500&gt;'Week 5'!$C$2:$C$500)))+(SUMPRODUCT(--('Week 5'!$G$2:$G$500=$A29),--('Week 5'!$I$2:$I$500=$F$28),--('Week 5'!$H$2:$H$500&gt;'Week 5'!$J$2:$J$500))+SUMPRODUCT(--('Week 5'!$G$2:$G$500=$F$28),--('Week 5'!$I$2:$I$500=$A29),--('Week 5'!$J$2:$J$500&gt;'Week 5'!$H$2:$H$500)))+(SUMPRODUCT(--('Week 6'!$B$2:$B$500=$A29),--('Week 6'!$D$2:$D$500=$F$28),--('Week 6'!$C$2:$C$500&gt;'Week 6'!$E$2:$E$500))+SUMPRODUCT(--('Week 6'!$B$2:$B$500=$F$28),--('Week 6'!$D$2:$D$500=$A29),--('Week 6'!$E$2:$E$500&gt;'Week 6'!$C$2:$C$500)))+(SUMPRODUCT(--('Week 6'!$G$2:$G$500=$A29),--('Week 6'!$I$2:$I$500=$F$28),--('Week 6'!$H$2:$H$500&gt;'Week 6'!$J$2:$J$500))+SUMPRODUCT(--('Week 6'!$G$2:$G$500=$F$28),--('Week 6'!$I$2:$I$500=$A29),--('Week 6'!$J$2:$J$500&gt;'Week 6'!$H$2:$H$500)))</f>
        <v/>
      </c>
      <c r="G29">
        <f>(SUMPRODUCT(--('Week 1'!$B$2:$B$500=$A29),--('Week 1'!$D$2:$D$500=$G$28),--('Week 1'!$C$2:$C$500&gt;'Week 1'!$E$2:$E$500))+SUMPRODUCT(--('Week 1'!$B$2:$B$500=$G$28),--('Week 1'!$D$2:$D$500=$A29),--('Week 1'!$E$2:$E$500&gt;'Week 1'!$C$2:$C$500)))+(SUMPRODUCT(--('Week 1'!$G$2:$G$500=$A29),--('Week 1'!$I$2:$I$500=$G$28),--('Week 1'!$H$2:$H$500&gt;'Week 1'!$J$2:$J$500))+SUMPRODUCT(--('Week 1'!$G$2:$G$500=$G$28),--('Week 1'!$I$2:$I$500=$A29),--('Week 1'!$J$2:$J$500&gt;'Week 1'!$H$2:$H$500)))+(SUMPRODUCT(--('Week 2'!$B$2:$B$500=$A29),--('Week 2'!$D$2:$D$500=$G$28),--('Week 2'!$C$2:$C$500&gt;'Week 2'!$E$2:$E$500))+SUMPRODUCT(--('Week 2'!$B$2:$B$500=$G$28),--('Week 2'!$D$2:$D$500=$A29),--('Week 2'!$E$2:$E$500&gt;'Week 2'!$C$2:$C$500)))+(SUMPRODUCT(--('Week 2'!$G$2:$G$500=$A29),--('Week 2'!$I$2:$I$500=$G$28),--('Week 2'!$H$2:$H$500&gt;'Week 2'!$J$2:$J$500))+SUMPRODUCT(--('Week 2'!$G$2:$G$500=$G$28),--('Week 2'!$I$2:$I$500=$A29),--('Week 2'!$J$2:$J$500&gt;'Week 2'!$H$2:$H$500)))+(SUMPRODUCT(--('Week 3'!$B$2:$B$500=$A29),--('Week 3'!$D$2:$D$500=$G$28),--('Week 3'!$C$2:$C$500&gt;'Week 3'!$E$2:$E$500))+SUMPRODUCT(--('Week 3'!$B$2:$B$500=$G$28),--('Week 3'!$D$2:$D$500=$A29),--('Week 3'!$E$2:$E$500&gt;'Week 3'!$C$2:$C$500)))+(SUMPRODUCT(--('Week 3'!$G$2:$G$500=$A29),--('Week 3'!$I$2:$I$500=$G$28),--('Week 3'!$H$2:$H$500&gt;'Week 3'!$J$2:$J$500))+SUMPRODUCT(--('Week 3'!$G$2:$G$500=$G$28),--('Week 3'!$I$2:$I$500=$A29),--('Week 3'!$J$2:$J$500&gt;'Week 3'!$H$2:$H$500)))+(SUMPRODUCT(--('Week 4'!$B$2:$B$500=$A29),--('Week 4'!$D$2:$D$500=$G$28),--('Week 4'!$C$2:$C$500&gt;'Week 4'!$E$2:$E$500))+SUMPRODUCT(--('Week 4'!$B$2:$B$500=$G$28),--('Week 4'!$D$2:$D$500=$A29),--('Week 4'!$E$2:$E$500&gt;'Week 4'!$C$2:$C$500)))+(SUMPRODUCT(--('Week 4'!$G$2:$G$500=$A29),--('Week 4'!$I$2:$I$500=$G$28),--('Week 4'!$H$2:$H$500&gt;'Week 4'!$J$2:$J$500))+SUMPRODUCT(--('Week 4'!$G$2:$G$500=$G$28),--('Week 4'!$I$2:$I$500=$A29),--('Week 4'!$J$2:$J$500&gt;'Week 4'!$H$2:$H$500)))+(SUMPRODUCT(--('Week 5'!$B$2:$B$500=$A29),--('Week 5'!$D$2:$D$500=$G$28),--('Week 5'!$C$2:$C$500&gt;'Week 5'!$E$2:$E$500))+SUMPRODUCT(--('Week 5'!$B$2:$B$500=$G$28),--('Week 5'!$D$2:$D$500=$A29),--('Week 5'!$E$2:$E$500&gt;'Week 5'!$C$2:$C$500)))+(SUMPRODUCT(--('Week 5'!$G$2:$G$500=$A29),--('Week 5'!$I$2:$I$500=$G$28),--('Week 5'!$H$2:$H$500&gt;'Week 5'!$J$2:$J$500))+SUMPRODUCT(--('Week 5'!$G$2:$G$500=$G$28),--('Week 5'!$I$2:$I$500=$A29),--('Week 5'!$J$2:$J$500&gt;'Week 5'!$H$2:$H$500)))+(SUMPRODUCT(--('Week 6'!$B$2:$B$500=$A29),--('Week 6'!$D$2:$D$500=$G$28),--('Week 6'!$C$2:$C$500&gt;'Week 6'!$E$2:$E$500))+SUMPRODUCT(--('Week 6'!$B$2:$B$500=$G$28),--('Week 6'!$D$2:$D$500=$A29),--('Week 6'!$E$2:$E$500&gt;'Week 6'!$C$2:$C$500)))+(SUMPRODUCT(--('Week 6'!$G$2:$G$500=$A29),--('Week 6'!$I$2:$I$500=$G$28),--('Week 6'!$H$2:$H$500&gt;'Week 6'!$J$2:$J$500))+SUMPRODUCT(--('Week 6'!$G$2:$G$500=$G$28),--('Week 6'!$I$2:$I$500=$A29),--('Week 6'!$J$2:$J$500&gt;'Week 6'!$H$2:$H$500)))</f>
        <v/>
      </c>
      <c r="H29">
        <f>(SUMPRODUCT(--('Week 1'!$B$2:$B$500=$A29),--('Week 1'!$D$2:$D$500=$H$28),--('Week 1'!$C$2:$C$500&gt;'Week 1'!$E$2:$E$500))+SUMPRODUCT(--('Week 1'!$B$2:$B$500=$H$28),--('Week 1'!$D$2:$D$500=$A29),--('Week 1'!$E$2:$E$500&gt;'Week 1'!$C$2:$C$500)))+(SUMPRODUCT(--('Week 1'!$G$2:$G$500=$A29),--('Week 1'!$I$2:$I$500=$H$28),--('Week 1'!$H$2:$H$500&gt;'Week 1'!$J$2:$J$500))+SUMPRODUCT(--('Week 1'!$G$2:$G$500=$H$28),--('Week 1'!$I$2:$I$500=$A29),--('Week 1'!$J$2:$J$500&gt;'Week 1'!$H$2:$H$500)))+(SUMPRODUCT(--('Week 2'!$B$2:$B$500=$A29),--('Week 2'!$D$2:$D$500=$H$28),--('Week 2'!$C$2:$C$500&gt;'Week 2'!$E$2:$E$500))+SUMPRODUCT(--('Week 2'!$B$2:$B$500=$H$28),--('Week 2'!$D$2:$D$500=$A29),--('Week 2'!$E$2:$E$500&gt;'Week 2'!$C$2:$C$500)))+(SUMPRODUCT(--('Week 2'!$G$2:$G$500=$A29),--('Week 2'!$I$2:$I$500=$H$28),--('Week 2'!$H$2:$H$500&gt;'Week 2'!$J$2:$J$500))+SUMPRODUCT(--('Week 2'!$G$2:$G$500=$H$28),--('Week 2'!$I$2:$I$500=$A29),--('Week 2'!$J$2:$J$500&gt;'Week 2'!$H$2:$H$500)))+(SUMPRODUCT(--('Week 3'!$B$2:$B$500=$A29),--('Week 3'!$D$2:$D$500=$H$28),--('Week 3'!$C$2:$C$500&gt;'Week 3'!$E$2:$E$500))+SUMPRODUCT(--('Week 3'!$B$2:$B$500=$H$28),--('Week 3'!$D$2:$D$500=$A29),--('Week 3'!$E$2:$E$500&gt;'Week 3'!$C$2:$C$500)))+(SUMPRODUCT(--('Week 3'!$G$2:$G$500=$A29),--('Week 3'!$I$2:$I$500=$H$28),--('Week 3'!$H$2:$H$500&gt;'Week 3'!$J$2:$J$500))+SUMPRODUCT(--('Week 3'!$G$2:$G$500=$H$28),--('Week 3'!$I$2:$I$500=$A29),--('Week 3'!$J$2:$J$500&gt;'Week 3'!$H$2:$H$500)))+(SUMPRODUCT(--('Week 4'!$B$2:$B$500=$A29),--('Week 4'!$D$2:$D$500=$H$28),--('Week 4'!$C$2:$C$500&gt;'Week 4'!$E$2:$E$500))+SUMPRODUCT(--('Week 4'!$B$2:$B$500=$H$28),--('Week 4'!$D$2:$D$500=$A29),--('Week 4'!$E$2:$E$500&gt;'Week 4'!$C$2:$C$500)))+(SUMPRODUCT(--('Week 4'!$G$2:$G$500=$A29),--('Week 4'!$I$2:$I$500=$H$28),--('Week 4'!$H$2:$H$500&gt;'Week 4'!$J$2:$J$500))+SUMPRODUCT(--('Week 4'!$G$2:$G$500=$H$28),--('Week 4'!$I$2:$I$500=$A29),--('Week 4'!$J$2:$J$500&gt;'Week 4'!$H$2:$H$500)))+(SUMPRODUCT(--('Week 5'!$B$2:$B$500=$A29),--('Week 5'!$D$2:$D$500=$H$28),--('Week 5'!$C$2:$C$500&gt;'Week 5'!$E$2:$E$500))+SUMPRODUCT(--('Week 5'!$B$2:$B$500=$H$28),--('Week 5'!$D$2:$D$500=$A29),--('Week 5'!$E$2:$E$500&gt;'Week 5'!$C$2:$C$500)))+(SUMPRODUCT(--('Week 5'!$G$2:$G$500=$A29),--('Week 5'!$I$2:$I$500=$H$28),--('Week 5'!$H$2:$H$500&gt;'Week 5'!$J$2:$J$500))+SUMPRODUCT(--('Week 5'!$G$2:$G$500=$H$28),--('Week 5'!$I$2:$I$500=$A29),--('Week 5'!$J$2:$J$500&gt;'Week 5'!$H$2:$H$500)))+(SUMPRODUCT(--('Week 6'!$B$2:$B$500=$A29),--('Week 6'!$D$2:$D$500=$H$28),--('Week 6'!$C$2:$C$500&gt;'Week 6'!$E$2:$E$500))+SUMPRODUCT(--('Week 6'!$B$2:$B$500=$H$28),--('Week 6'!$D$2:$D$500=$A29),--('Week 6'!$E$2:$E$500&gt;'Week 6'!$C$2:$C$500)))+(SUMPRODUCT(--('Week 6'!$G$2:$G$500=$A29),--('Week 6'!$I$2:$I$500=$H$28),--('Week 6'!$H$2:$H$500&gt;'Week 6'!$J$2:$J$500))+SUMPRODUCT(--('Week 6'!$G$2:$G$500=$H$28),--('Week 6'!$I$2:$I$500=$A29),--('Week 6'!$J$2:$J$500&gt;'Week 6'!$H$2:$H$500)))</f>
        <v/>
      </c>
      <c r="I29">
        <f>(SUMPRODUCT(--('Week 1'!$B$2:$B$500=$A29),--('Week 1'!$D$2:$D$500=$I$28),--('Week 1'!$C$2:$C$500&gt;'Week 1'!$E$2:$E$500))+SUMPRODUCT(--('Week 1'!$B$2:$B$500=$I$28),--('Week 1'!$D$2:$D$500=$A29),--('Week 1'!$E$2:$E$500&gt;'Week 1'!$C$2:$C$500)))+(SUMPRODUCT(--('Week 1'!$G$2:$G$500=$A29),--('Week 1'!$I$2:$I$500=$I$28),--('Week 1'!$H$2:$H$500&gt;'Week 1'!$J$2:$J$500))+SUMPRODUCT(--('Week 1'!$G$2:$G$500=$I$28),--('Week 1'!$I$2:$I$500=$A29),--('Week 1'!$J$2:$J$500&gt;'Week 1'!$H$2:$H$500)))+(SUMPRODUCT(--('Week 2'!$B$2:$B$500=$A29),--('Week 2'!$D$2:$D$500=$I$28),--('Week 2'!$C$2:$C$500&gt;'Week 2'!$E$2:$E$500))+SUMPRODUCT(--('Week 2'!$B$2:$B$500=$I$28),--('Week 2'!$D$2:$D$500=$A29),--('Week 2'!$E$2:$E$500&gt;'Week 2'!$C$2:$C$500)))+(SUMPRODUCT(--('Week 2'!$G$2:$G$500=$A29),--('Week 2'!$I$2:$I$500=$I$28),--('Week 2'!$H$2:$H$500&gt;'Week 2'!$J$2:$J$500))+SUMPRODUCT(--('Week 2'!$G$2:$G$500=$I$28),--('Week 2'!$I$2:$I$500=$A29),--('Week 2'!$J$2:$J$500&gt;'Week 2'!$H$2:$H$500)))+(SUMPRODUCT(--('Week 3'!$B$2:$B$500=$A29),--('Week 3'!$D$2:$D$500=$I$28),--('Week 3'!$C$2:$C$500&gt;'Week 3'!$E$2:$E$500))+SUMPRODUCT(--('Week 3'!$B$2:$B$500=$I$28),--('Week 3'!$D$2:$D$500=$A29),--('Week 3'!$E$2:$E$500&gt;'Week 3'!$C$2:$C$500)))+(SUMPRODUCT(--('Week 3'!$G$2:$G$500=$A29),--('Week 3'!$I$2:$I$500=$I$28),--('Week 3'!$H$2:$H$500&gt;'Week 3'!$J$2:$J$500))+SUMPRODUCT(--('Week 3'!$G$2:$G$500=$I$28),--('Week 3'!$I$2:$I$500=$A29),--('Week 3'!$J$2:$J$500&gt;'Week 3'!$H$2:$H$500)))+(SUMPRODUCT(--('Week 4'!$B$2:$B$500=$A29),--('Week 4'!$D$2:$D$500=$I$28),--('Week 4'!$C$2:$C$500&gt;'Week 4'!$E$2:$E$500))+SUMPRODUCT(--('Week 4'!$B$2:$B$500=$I$28),--('Week 4'!$D$2:$D$500=$A29),--('Week 4'!$E$2:$E$500&gt;'Week 4'!$C$2:$C$500)))+(SUMPRODUCT(--('Week 4'!$G$2:$G$500=$A29),--('Week 4'!$I$2:$I$500=$I$28),--('Week 4'!$H$2:$H$500&gt;'Week 4'!$J$2:$J$500))+SUMPRODUCT(--('Week 4'!$G$2:$G$500=$I$28),--('Week 4'!$I$2:$I$500=$A29),--('Week 4'!$J$2:$J$500&gt;'Week 4'!$H$2:$H$500)))+(SUMPRODUCT(--('Week 5'!$B$2:$B$500=$A29),--('Week 5'!$D$2:$D$500=$I$28),--('Week 5'!$C$2:$C$500&gt;'Week 5'!$E$2:$E$500))+SUMPRODUCT(--('Week 5'!$B$2:$B$500=$I$28),--('Week 5'!$D$2:$D$500=$A29),--('Week 5'!$E$2:$E$500&gt;'Week 5'!$C$2:$C$500)))+(SUMPRODUCT(--('Week 5'!$G$2:$G$500=$A29),--('Week 5'!$I$2:$I$500=$I$28),--('Week 5'!$H$2:$H$500&gt;'Week 5'!$J$2:$J$500))+SUMPRODUCT(--('Week 5'!$G$2:$G$500=$I$28),--('Week 5'!$I$2:$I$500=$A29),--('Week 5'!$J$2:$J$500&gt;'Week 5'!$H$2:$H$500)))+(SUMPRODUCT(--('Week 6'!$B$2:$B$500=$A29),--('Week 6'!$D$2:$D$500=$I$28),--('Week 6'!$C$2:$C$500&gt;'Week 6'!$E$2:$E$500))+SUMPRODUCT(--('Week 6'!$B$2:$B$500=$I$28),--('Week 6'!$D$2:$D$500=$A29),--('Week 6'!$E$2:$E$500&gt;'Week 6'!$C$2:$C$500)))+(SUMPRODUCT(--('Week 6'!$G$2:$G$500=$A29),--('Week 6'!$I$2:$I$500=$I$28),--('Week 6'!$H$2:$H$500&gt;'Week 6'!$J$2:$J$500))+SUMPRODUCT(--('Week 6'!$G$2:$G$500=$I$28),--('Week 6'!$I$2:$I$500=$A29),--('Week 6'!$J$2:$J$500&gt;'Week 6'!$H$2:$H$500)))</f>
        <v/>
      </c>
    </row>
    <row r="30">
      <c r="A30" t="inlineStr">
        <is>
          <t>Team 2</t>
        </is>
      </c>
      <c r="B30">
        <f>(SUMPRODUCT(--('Week 1'!$B$2:$B$500=$A30),--('Week 1'!$D$2:$D$500=$B$28),--('Week 1'!$C$2:$C$500&gt;'Week 1'!$E$2:$E$500))+SUMPRODUCT(--('Week 1'!$B$2:$B$500=$B$28),--('Week 1'!$D$2:$D$500=$A30),--('Week 1'!$E$2:$E$500&gt;'Week 1'!$C$2:$C$500)))+(SUMPRODUCT(--('Week 1'!$G$2:$G$500=$A30),--('Week 1'!$I$2:$I$500=$B$28),--('Week 1'!$H$2:$H$500&gt;'Week 1'!$J$2:$J$500))+SUMPRODUCT(--('Week 1'!$G$2:$G$500=$B$28),--('Week 1'!$I$2:$I$500=$A30),--('Week 1'!$J$2:$J$500&gt;'Week 1'!$H$2:$H$500)))+(SUMPRODUCT(--('Week 2'!$B$2:$B$500=$A30),--('Week 2'!$D$2:$D$500=$B$28),--('Week 2'!$C$2:$C$500&gt;'Week 2'!$E$2:$E$500))+SUMPRODUCT(--('Week 2'!$B$2:$B$500=$B$28),--('Week 2'!$D$2:$D$500=$A30),--('Week 2'!$E$2:$E$500&gt;'Week 2'!$C$2:$C$500)))+(SUMPRODUCT(--('Week 2'!$G$2:$G$500=$A30),--('Week 2'!$I$2:$I$500=$B$28),--('Week 2'!$H$2:$H$500&gt;'Week 2'!$J$2:$J$500))+SUMPRODUCT(--('Week 2'!$G$2:$G$500=$B$28),--('Week 2'!$I$2:$I$500=$A30),--('Week 2'!$J$2:$J$500&gt;'Week 2'!$H$2:$H$500)))+(SUMPRODUCT(--('Week 3'!$B$2:$B$500=$A30),--('Week 3'!$D$2:$D$500=$B$28),--('Week 3'!$C$2:$C$500&gt;'Week 3'!$E$2:$E$500))+SUMPRODUCT(--('Week 3'!$B$2:$B$500=$B$28),--('Week 3'!$D$2:$D$500=$A30),--('Week 3'!$E$2:$E$500&gt;'Week 3'!$C$2:$C$500)))+(SUMPRODUCT(--('Week 3'!$G$2:$G$500=$A30),--('Week 3'!$I$2:$I$500=$B$28),--('Week 3'!$H$2:$H$500&gt;'Week 3'!$J$2:$J$500))+SUMPRODUCT(--('Week 3'!$G$2:$G$500=$B$28),--('Week 3'!$I$2:$I$500=$A30),--('Week 3'!$J$2:$J$500&gt;'Week 3'!$H$2:$H$500)))+(SUMPRODUCT(--('Week 4'!$B$2:$B$500=$A30),--('Week 4'!$D$2:$D$500=$B$28),--('Week 4'!$C$2:$C$500&gt;'Week 4'!$E$2:$E$500))+SUMPRODUCT(--('Week 4'!$B$2:$B$500=$B$28),--('Week 4'!$D$2:$D$500=$A30),--('Week 4'!$E$2:$E$500&gt;'Week 4'!$C$2:$C$500)))+(SUMPRODUCT(--('Week 4'!$G$2:$G$500=$A30),--('Week 4'!$I$2:$I$500=$B$28),--('Week 4'!$H$2:$H$500&gt;'Week 4'!$J$2:$J$500))+SUMPRODUCT(--('Week 4'!$G$2:$G$500=$B$28),--('Week 4'!$I$2:$I$500=$A30),--('Week 4'!$J$2:$J$500&gt;'Week 4'!$H$2:$H$500)))+(SUMPRODUCT(--('Week 5'!$B$2:$B$500=$A30),--('Week 5'!$D$2:$D$500=$B$28),--('Week 5'!$C$2:$C$500&gt;'Week 5'!$E$2:$E$500))+SUMPRODUCT(--('Week 5'!$B$2:$B$500=$B$28),--('Week 5'!$D$2:$D$500=$A30),--('Week 5'!$E$2:$E$500&gt;'Week 5'!$C$2:$C$500)))+(SUMPRODUCT(--('Week 5'!$G$2:$G$500=$A30),--('Week 5'!$I$2:$I$500=$B$28),--('Week 5'!$H$2:$H$500&gt;'Week 5'!$J$2:$J$500))+SUMPRODUCT(--('Week 5'!$G$2:$G$500=$B$28),--('Week 5'!$I$2:$I$500=$A30),--('Week 5'!$J$2:$J$500&gt;'Week 5'!$H$2:$H$500)))+(SUMPRODUCT(--('Week 6'!$B$2:$B$500=$A30),--('Week 6'!$D$2:$D$500=$B$28),--('Week 6'!$C$2:$C$500&gt;'Week 6'!$E$2:$E$500))+SUMPRODUCT(--('Week 6'!$B$2:$B$500=$B$28),--('Week 6'!$D$2:$D$500=$A30),--('Week 6'!$E$2:$E$500&gt;'Week 6'!$C$2:$C$500)))+(SUMPRODUCT(--('Week 6'!$G$2:$G$500=$A30),--('Week 6'!$I$2:$I$500=$B$28),--('Week 6'!$H$2:$H$500&gt;'Week 6'!$J$2:$J$500))+SUMPRODUCT(--('Week 6'!$G$2:$G$500=$B$28),--('Week 6'!$I$2:$I$500=$A30),--('Week 6'!$J$2:$J$500&gt;'Week 6'!$H$2:$H$500)))</f>
        <v/>
      </c>
      <c r="C30" t="inlineStr">
        <is>
          <t>—</t>
        </is>
      </c>
      <c r="D30">
        <f>(SUMPRODUCT(--('Week 1'!$B$2:$B$500=$A30),--('Week 1'!$D$2:$D$500=$D$28),--('Week 1'!$C$2:$C$500&gt;'Week 1'!$E$2:$E$500))+SUMPRODUCT(--('Week 1'!$B$2:$B$500=$D$28),--('Week 1'!$D$2:$D$500=$A30),--('Week 1'!$E$2:$E$500&gt;'Week 1'!$C$2:$C$500)))+(SUMPRODUCT(--('Week 1'!$G$2:$G$500=$A30),--('Week 1'!$I$2:$I$500=$D$28),--('Week 1'!$H$2:$H$500&gt;'Week 1'!$J$2:$J$500))+SUMPRODUCT(--('Week 1'!$G$2:$G$500=$D$28),--('Week 1'!$I$2:$I$500=$A30),--('Week 1'!$J$2:$J$500&gt;'Week 1'!$H$2:$H$500)))+(SUMPRODUCT(--('Week 2'!$B$2:$B$500=$A30),--('Week 2'!$D$2:$D$500=$D$28),--('Week 2'!$C$2:$C$500&gt;'Week 2'!$E$2:$E$500))+SUMPRODUCT(--('Week 2'!$B$2:$B$500=$D$28),--('Week 2'!$D$2:$D$500=$A30),--('Week 2'!$E$2:$E$500&gt;'Week 2'!$C$2:$C$500)))+(SUMPRODUCT(--('Week 2'!$G$2:$G$500=$A30),--('Week 2'!$I$2:$I$500=$D$28),--('Week 2'!$H$2:$H$500&gt;'Week 2'!$J$2:$J$500))+SUMPRODUCT(--('Week 2'!$G$2:$G$500=$D$28),--('Week 2'!$I$2:$I$500=$A30),--('Week 2'!$J$2:$J$500&gt;'Week 2'!$H$2:$H$500)))+(SUMPRODUCT(--('Week 3'!$B$2:$B$500=$A30),--('Week 3'!$D$2:$D$500=$D$28),--('Week 3'!$C$2:$C$500&gt;'Week 3'!$E$2:$E$500))+SUMPRODUCT(--('Week 3'!$B$2:$B$500=$D$28),--('Week 3'!$D$2:$D$500=$A30),--('Week 3'!$E$2:$E$500&gt;'Week 3'!$C$2:$C$500)))+(SUMPRODUCT(--('Week 3'!$G$2:$G$500=$A30),--('Week 3'!$I$2:$I$500=$D$28),--('Week 3'!$H$2:$H$500&gt;'Week 3'!$J$2:$J$500))+SUMPRODUCT(--('Week 3'!$G$2:$G$500=$D$28),--('Week 3'!$I$2:$I$500=$A30),--('Week 3'!$J$2:$J$500&gt;'Week 3'!$H$2:$H$500)))+(SUMPRODUCT(--('Week 4'!$B$2:$B$500=$A30),--('Week 4'!$D$2:$D$500=$D$28),--('Week 4'!$C$2:$C$500&gt;'Week 4'!$E$2:$E$500))+SUMPRODUCT(--('Week 4'!$B$2:$B$500=$D$28),--('Week 4'!$D$2:$D$500=$A30),--('Week 4'!$E$2:$E$500&gt;'Week 4'!$C$2:$C$500)))+(SUMPRODUCT(--('Week 4'!$G$2:$G$500=$A30),--('Week 4'!$I$2:$I$500=$D$28),--('Week 4'!$H$2:$H$500&gt;'Week 4'!$J$2:$J$500))+SUMPRODUCT(--('Week 4'!$G$2:$G$500=$D$28),--('Week 4'!$I$2:$I$500=$A30),--('Week 4'!$J$2:$J$500&gt;'Week 4'!$H$2:$H$500)))+(SUMPRODUCT(--('Week 5'!$B$2:$B$500=$A30),--('Week 5'!$D$2:$D$500=$D$28),--('Week 5'!$C$2:$C$500&gt;'Week 5'!$E$2:$E$500))+SUMPRODUCT(--('Week 5'!$B$2:$B$500=$D$28),--('Week 5'!$D$2:$D$500=$A30),--('Week 5'!$E$2:$E$500&gt;'Week 5'!$C$2:$C$500)))+(SUMPRODUCT(--('Week 5'!$G$2:$G$500=$A30),--('Week 5'!$I$2:$I$500=$D$28),--('Week 5'!$H$2:$H$500&gt;'Week 5'!$J$2:$J$500))+SUMPRODUCT(--('Week 5'!$G$2:$G$500=$D$28),--('Week 5'!$I$2:$I$500=$A30),--('Week 5'!$J$2:$J$500&gt;'Week 5'!$H$2:$H$500)))+(SUMPRODUCT(--('Week 6'!$B$2:$B$500=$A30),--('Week 6'!$D$2:$D$500=$D$28),--('Week 6'!$C$2:$C$500&gt;'Week 6'!$E$2:$E$500))+SUMPRODUCT(--('Week 6'!$B$2:$B$500=$D$28),--('Week 6'!$D$2:$D$500=$A30),--('Week 6'!$E$2:$E$500&gt;'Week 6'!$C$2:$C$500)))+(SUMPRODUCT(--('Week 6'!$G$2:$G$500=$A30),--('Week 6'!$I$2:$I$500=$D$28),--('Week 6'!$H$2:$H$500&gt;'Week 6'!$J$2:$J$500))+SUMPRODUCT(--('Week 6'!$G$2:$G$500=$D$28),--('Week 6'!$I$2:$I$500=$A30),--('Week 6'!$J$2:$J$500&gt;'Week 6'!$H$2:$H$500)))</f>
        <v/>
      </c>
      <c r="E30">
        <f>(SUMPRODUCT(--('Week 1'!$B$2:$B$500=$A30),--('Week 1'!$D$2:$D$500=$E$28),--('Week 1'!$C$2:$C$500&gt;'Week 1'!$E$2:$E$500))+SUMPRODUCT(--('Week 1'!$B$2:$B$500=$E$28),--('Week 1'!$D$2:$D$500=$A30),--('Week 1'!$E$2:$E$500&gt;'Week 1'!$C$2:$C$500)))+(SUMPRODUCT(--('Week 1'!$G$2:$G$500=$A30),--('Week 1'!$I$2:$I$500=$E$28),--('Week 1'!$H$2:$H$500&gt;'Week 1'!$J$2:$J$500))+SUMPRODUCT(--('Week 1'!$G$2:$G$500=$E$28),--('Week 1'!$I$2:$I$500=$A30),--('Week 1'!$J$2:$J$500&gt;'Week 1'!$H$2:$H$500)))+(SUMPRODUCT(--('Week 2'!$B$2:$B$500=$A30),--('Week 2'!$D$2:$D$500=$E$28),--('Week 2'!$C$2:$C$500&gt;'Week 2'!$E$2:$E$500))+SUMPRODUCT(--('Week 2'!$B$2:$B$500=$E$28),--('Week 2'!$D$2:$D$500=$A30),--('Week 2'!$E$2:$E$500&gt;'Week 2'!$C$2:$C$500)))+(SUMPRODUCT(--('Week 2'!$G$2:$G$500=$A30),--('Week 2'!$I$2:$I$500=$E$28),--('Week 2'!$H$2:$H$500&gt;'Week 2'!$J$2:$J$500))+SUMPRODUCT(--('Week 2'!$G$2:$G$500=$E$28),--('Week 2'!$I$2:$I$500=$A30),--('Week 2'!$J$2:$J$500&gt;'Week 2'!$H$2:$H$500)))+(SUMPRODUCT(--('Week 3'!$B$2:$B$500=$A30),--('Week 3'!$D$2:$D$500=$E$28),--('Week 3'!$C$2:$C$500&gt;'Week 3'!$E$2:$E$500))+SUMPRODUCT(--('Week 3'!$B$2:$B$500=$E$28),--('Week 3'!$D$2:$D$500=$A30),--('Week 3'!$E$2:$E$500&gt;'Week 3'!$C$2:$C$500)))+(SUMPRODUCT(--('Week 3'!$G$2:$G$500=$A30),--('Week 3'!$I$2:$I$500=$E$28),--('Week 3'!$H$2:$H$500&gt;'Week 3'!$J$2:$J$500))+SUMPRODUCT(--('Week 3'!$G$2:$G$500=$E$28),--('Week 3'!$I$2:$I$500=$A30),--('Week 3'!$J$2:$J$500&gt;'Week 3'!$H$2:$H$500)))+(SUMPRODUCT(--('Week 4'!$B$2:$B$500=$A30),--('Week 4'!$D$2:$D$500=$E$28),--('Week 4'!$C$2:$C$500&gt;'Week 4'!$E$2:$E$500))+SUMPRODUCT(--('Week 4'!$B$2:$B$500=$E$28),--('Week 4'!$D$2:$D$500=$A30),--('Week 4'!$E$2:$E$500&gt;'Week 4'!$C$2:$C$500)))+(SUMPRODUCT(--('Week 4'!$G$2:$G$500=$A30),--('Week 4'!$I$2:$I$500=$E$28),--('Week 4'!$H$2:$H$500&gt;'Week 4'!$J$2:$J$500))+SUMPRODUCT(--('Week 4'!$G$2:$G$500=$E$28),--('Week 4'!$I$2:$I$500=$A30),--('Week 4'!$J$2:$J$500&gt;'Week 4'!$H$2:$H$500)))+(SUMPRODUCT(--('Week 5'!$B$2:$B$500=$A30),--('Week 5'!$D$2:$D$500=$E$28),--('Week 5'!$C$2:$C$500&gt;'Week 5'!$E$2:$E$500))+SUMPRODUCT(--('Week 5'!$B$2:$B$500=$E$28),--('Week 5'!$D$2:$D$500=$A30),--('Week 5'!$E$2:$E$500&gt;'Week 5'!$C$2:$C$500)))+(SUMPRODUCT(--('Week 5'!$G$2:$G$500=$A30),--('Week 5'!$I$2:$I$500=$E$28),--('Week 5'!$H$2:$H$500&gt;'Week 5'!$J$2:$J$500))+SUMPRODUCT(--('Week 5'!$G$2:$G$500=$E$28),--('Week 5'!$I$2:$I$500=$A30),--('Week 5'!$J$2:$J$500&gt;'Week 5'!$H$2:$H$500)))+(SUMPRODUCT(--('Week 6'!$B$2:$B$500=$A30),--('Week 6'!$D$2:$D$500=$E$28),--('Week 6'!$C$2:$C$500&gt;'Week 6'!$E$2:$E$500))+SUMPRODUCT(--('Week 6'!$B$2:$B$500=$E$28),--('Week 6'!$D$2:$D$500=$A30),--('Week 6'!$E$2:$E$500&gt;'Week 6'!$C$2:$C$500)))+(SUMPRODUCT(--('Week 6'!$G$2:$G$500=$A30),--('Week 6'!$I$2:$I$500=$E$28),--('Week 6'!$H$2:$H$500&gt;'Week 6'!$J$2:$J$500))+SUMPRODUCT(--('Week 6'!$G$2:$G$500=$E$28),--('Week 6'!$I$2:$I$500=$A30),--('Week 6'!$J$2:$J$500&gt;'Week 6'!$H$2:$H$500)))</f>
        <v/>
      </c>
      <c r="F30">
        <f>(SUMPRODUCT(--('Week 1'!$B$2:$B$500=$A30),--('Week 1'!$D$2:$D$500=$F$28),--('Week 1'!$C$2:$C$500&gt;'Week 1'!$E$2:$E$500))+SUMPRODUCT(--('Week 1'!$B$2:$B$500=$F$28),--('Week 1'!$D$2:$D$500=$A30),--('Week 1'!$E$2:$E$500&gt;'Week 1'!$C$2:$C$500)))+(SUMPRODUCT(--('Week 1'!$G$2:$G$500=$A30),--('Week 1'!$I$2:$I$500=$F$28),--('Week 1'!$H$2:$H$500&gt;'Week 1'!$J$2:$J$500))+SUMPRODUCT(--('Week 1'!$G$2:$G$500=$F$28),--('Week 1'!$I$2:$I$500=$A30),--('Week 1'!$J$2:$J$500&gt;'Week 1'!$H$2:$H$500)))+(SUMPRODUCT(--('Week 2'!$B$2:$B$500=$A30),--('Week 2'!$D$2:$D$500=$F$28),--('Week 2'!$C$2:$C$500&gt;'Week 2'!$E$2:$E$500))+SUMPRODUCT(--('Week 2'!$B$2:$B$500=$F$28),--('Week 2'!$D$2:$D$500=$A30),--('Week 2'!$E$2:$E$500&gt;'Week 2'!$C$2:$C$500)))+(SUMPRODUCT(--('Week 2'!$G$2:$G$500=$A30),--('Week 2'!$I$2:$I$500=$F$28),--('Week 2'!$H$2:$H$500&gt;'Week 2'!$J$2:$J$500))+SUMPRODUCT(--('Week 2'!$G$2:$G$500=$F$28),--('Week 2'!$I$2:$I$500=$A30),--('Week 2'!$J$2:$J$500&gt;'Week 2'!$H$2:$H$500)))+(SUMPRODUCT(--('Week 3'!$B$2:$B$500=$A30),--('Week 3'!$D$2:$D$500=$F$28),--('Week 3'!$C$2:$C$500&gt;'Week 3'!$E$2:$E$500))+SUMPRODUCT(--('Week 3'!$B$2:$B$500=$F$28),--('Week 3'!$D$2:$D$500=$A30),--('Week 3'!$E$2:$E$500&gt;'Week 3'!$C$2:$C$500)))+(SUMPRODUCT(--('Week 3'!$G$2:$G$500=$A30),--('Week 3'!$I$2:$I$500=$F$28),--('Week 3'!$H$2:$H$500&gt;'Week 3'!$J$2:$J$500))+SUMPRODUCT(--('Week 3'!$G$2:$G$500=$F$28),--('Week 3'!$I$2:$I$500=$A30),--('Week 3'!$J$2:$J$500&gt;'Week 3'!$H$2:$H$500)))+(SUMPRODUCT(--('Week 4'!$B$2:$B$500=$A30),--('Week 4'!$D$2:$D$500=$F$28),--('Week 4'!$C$2:$C$500&gt;'Week 4'!$E$2:$E$500))+SUMPRODUCT(--('Week 4'!$B$2:$B$500=$F$28),--('Week 4'!$D$2:$D$500=$A30),--('Week 4'!$E$2:$E$500&gt;'Week 4'!$C$2:$C$500)))+(SUMPRODUCT(--('Week 4'!$G$2:$G$500=$A30),--('Week 4'!$I$2:$I$500=$F$28),--('Week 4'!$H$2:$H$500&gt;'Week 4'!$J$2:$J$500))+SUMPRODUCT(--('Week 4'!$G$2:$G$500=$F$28),--('Week 4'!$I$2:$I$500=$A30),--('Week 4'!$J$2:$J$500&gt;'Week 4'!$H$2:$H$500)))+(SUMPRODUCT(--('Week 5'!$B$2:$B$500=$A30),--('Week 5'!$D$2:$D$500=$F$28),--('Week 5'!$C$2:$C$500&gt;'Week 5'!$E$2:$E$500))+SUMPRODUCT(--('Week 5'!$B$2:$B$500=$F$28),--('Week 5'!$D$2:$D$500=$A30),--('Week 5'!$E$2:$E$500&gt;'Week 5'!$C$2:$C$500)))+(SUMPRODUCT(--('Week 5'!$G$2:$G$500=$A30),--('Week 5'!$I$2:$I$500=$F$28),--('Week 5'!$H$2:$H$500&gt;'Week 5'!$J$2:$J$500))+SUMPRODUCT(--('Week 5'!$G$2:$G$500=$F$28),--('Week 5'!$I$2:$I$500=$A30),--('Week 5'!$J$2:$J$500&gt;'Week 5'!$H$2:$H$500)))+(SUMPRODUCT(--('Week 6'!$B$2:$B$500=$A30),--('Week 6'!$D$2:$D$500=$F$28),--('Week 6'!$C$2:$C$500&gt;'Week 6'!$E$2:$E$500))+SUMPRODUCT(--('Week 6'!$B$2:$B$500=$F$28),--('Week 6'!$D$2:$D$500=$A30),--('Week 6'!$E$2:$E$500&gt;'Week 6'!$C$2:$C$500)))+(SUMPRODUCT(--('Week 6'!$G$2:$G$500=$A30),--('Week 6'!$I$2:$I$500=$F$28),--('Week 6'!$H$2:$H$500&gt;'Week 6'!$J$2:$J$500))+SUMPRODUCT(--('Week 6'!$G$2:$G$500=$F$28),--('Week 6'!$I$2:$I$500=$A30),--('Week 6'!$J$2:$J$500&gt;'Week 6'!$H$2:$H$500)))</f>
        <v/>
      </c>
      <c r="G30">
        <f>(SUMPRODUCT(--('Week 1'!$B$2:$B$500=$A30),--('Week 1'!$D$2:$D$500=$G$28),--('Week 1'!$C$2:$C$500&gt;'Week 1'!$E$2:$E$500))+SUMPRODUCT(--('Week 1'!$B$2:$B$500=$G$28),--('Week 1'!$D$2:$D$500=$A30),--('Week 1'!$E$2:$E$500&gt;'Week 1'!$C$2:$C$500)))+(SUMPRODUCT(--('Week 1'!$G$2:$G$500=$A30),--('Week 1'!$I$2:$I$500=$G$28),--('Week 1'!$H$2:$H$500&gt;'Week 1'!$J$2:$J$500))+SUMPRODUCT(--('Week 1'!$G$2:$G$500=$G$28),--('Week 1'!$I$2:$I$500=$A30),--('Week 1'!$J$2:$J$500&gt;'Week 1'!$H$2:$H$500)))+(SUMPRODUCT(--('Week 2'!$B$2:$B$500=$A30),--('Week 2'!$D$2:$D$500=$G$28),--('Week 2'!$C$2:$C$500&gt;'Week 2'!$E$2:$E$500))+SUMPRODUCT(--('Week 2'!$B$2:$B$500=$G$28),--('Week 2'!$D$2:$D$500=$A30),--('Week 2'!$E$2:$E$500&gt;'Week 2'!$C$2:$C$500)))+(SUMPRODUCT(--('Week 2'!$G$2:$G$500=$A30),--('Week 2'!$I$2:$I$500=$G$28),--('Week 2'!$H$2:$H$500&gt;'Week 2'!$J$2:$J$500))+SUMPRODUCT(--('Week 2'!$G$2:$G$500=$G$28),--('Week 2'!$I$2:$I$500=$A30),--('Week 2'!$J$2:$J$500&gt;'Week 2'!$H$2:$H$500)))+(SUMPRODUCT(--('Week 3'!$B$2:$B$500=$A30),--('Week 3'!$D$2:$D$500=$G$28),--('Week 3'!$C$2:$C$500&gt;'Week 3'!$E$2:$E$500))+SUMPRODUCT(--('Week 3'!$B$2:$B$500=$G$28),--('Week 3'!$D$2:$D$500=$A30),--('Week 3'!$E$2:$E$500&gt;'Week 3'!$C$2:$C$500)))+(SUMPRODUCT(--('Week 3'!$G$2:$G$500=$A30),--('Week 3'!$I$2:$I$500=$G$28),--('Week 3'!$H$2:$H$500&gt;'Week 3'!$J$2:$J$500))+SUMPRODUCT(--('Week 3'!$G$2:$G$500=$G$28),--('Week 3'!$I$2:$I$500=$A30),--('Week 3'!$J$2:$J$500&gt;'Week 3'!$H$2:$H$500)))+(SUMPRODUCT(--('Week 4'!$B$2:$B$500=$A30),--('Week 4'!$D$2:$D$500=$G$28),--('Week 4'!$C$2:$C$500&gt;'Week 4'!$E$2:$E$500))+SUMPRODUCT(--('Week 4'!$B$2:$B$500=$G$28),--('Week 4'!$D$2:$D$500=$A30),--('Week 4'!$E$2:$E$500&gt;'Week 4'!$C$2:$C$500)))+(SUMPRODUCT(--('Week 4'!$G$2:$G$500=$A30),--('Week 4'!$I$2:$I$500=$G$28),--('Week 4'!$H$2:$H$500&gt;'Week 4'!$J$2:$J$500))+SUMPRODUCT(--('Week 4'!$G$2:$G$500=$G$28),--('Week 4'!$I$2:$I$500=$A30),--('Week 4'!$J$2:$J$500&gt;'Week 4'!$H$2:$H$500)))+(SUMPRODUCT(--('Week 5'!$B$2:$B$500=$A30),--('Week 5'!$D$2:$D$500=$G$28),--('Week 5'!$C$2:$C$500&gt;'Week 5'!$E$2:$E$500))+SUMPRODUCT(--('Week 5'!$B$2:$B$500=$G$28),--('Week 5'!$D$2:$D$500=$A30),--('Week 5'!$E$2:$E$500&gt;'Week 5'!$C$2:$C$500)))+(SUMPRODUCT(--('Week 5'!$G$2:$G$500=$A30),--('Week 5'!$I$2:$I$500=$G$28),--('Week 5'!$H$2:$H$500&gt;'Week 5'!$J$2:$J$500))+SUMPRODUCT(--('Week 5'!$G$2:$G$500=$G$28),--('Week 5'!$I$2:$I$500=$A30),--('Week 5'!$J$2:$J$500&gt;'Week 5'!$H$2:$H$500)))+(SUMPRODUCT(--('Week 6'!$B$2:$B$500=$A30),--('Week 6'!$D$2:$D$500=$G$28),--('Week 6'!$C$2:$C$500&gt;'Week 6'!$E$2:$E$500))+SUMPRODUCT(--('Week 6'!$B$2:$B$500=$G$28),--('Week 6'!$D$2:$D$500=$A30),--('Week 6'!$E$2:$E$500&gt;'Week 6'!$C$2:$C$500)))+(SUMPRODUCT(--('Week 6'!$G$2:$G$500=$A30),--('Week 6'!$I$2:$I$500=$G$28),--('Week 6'!$H$2:$H$500&gt;'Week 6'!$J$2:$J$500))+SUMPRODUCT(--('Week 6'!$G$2:$G$500=$G$28),--('Week 6'!$I$2:$I$500=$A30),--('Week 6'!$J$2:$J$500&gt;'Week 6'!$H$2:$H$500)))</f>
        <v/>
      </c>
      <c r="H30">
        <f>(SUMPRODUCT(--('Week 1'!$B$2:$B$500=$A30),--('Week 1'!$D$2:$D$500=$H$28),--('Week 1'!$C$2:$C$500&gt;'Week 1'!$E$2:$E$500))+SUMPRODUCT(--('Week 1'!$B$2:$B$500=$H$28),--('Week 1'!$D$2:$D$500=$A30),--('Week 1'!$E$2:$E$500&gt;'Week 1'!$C$2:$C$500)))+(SUMPRODUCT(--('Week 1'!$G$2:$G$500=$A30),--('Week 1'!$I$2:$I$500=$H$28),--('Week 1'!$H$2:$H$500&gt;'Week 1'!$J$2:$J$500))+SUMPRODUCT(--('Week 1'!$G$2:$G$500=$H$28),--('Week 1'!$I$2:$I$500=$A30),--('Week 1'!$J$2:$J$500&gt;'Week 1'!$H$2:$H$500)))+(SUMPRODUCT(--('Week 2'!$B$2:$B$500=$A30),--('Week 2'!$D$2:$D$500=$H$28),--('Week 2'!$C$2:$C$500&gt;'Week 2'!$E$2:$E$500))+SUMPRODUCT(--('Week 2'!$B$2:$B$500=$H$28),--('Week 2'!$D$2:$D$500=$A30),--('Week 2'!$E$2:$E$500&gt;'Week 2'!$C$2:$C$500)))+(SUMPRODUCT(--('Week 2'!$G$2:$G$500=$A30),--('Week 2'!$I$2:$I$500=$H$28),--('Week 2'!$H$2:$H$500&gt;'Week 2'!$J$2:$J$500))+SUMPRODUCT(--('Week 2'!$G$2:$G$500=$H$28),--('Week 2'!$I$2:$I$500=$A30),--('Week 2'!$J$2:$J$500&gt;'Week 2'!$H$2:$H$500)))+(SUMPRODUCT(--('Week 3'!$B$2:$B$500=$A30),--('Week 3'!$D$2:$D$500=$H$28),--('Week 3'!$C$2:$C$500&gt;'Week 3'!$E$2:$E$500))+SUMPRODUCT(--('Week 3'!$B$2:$B$500=$H$28),--('Week 3'!$D$2:$D$500=$A30),--('Week 3'!$E$2:$E$500&gt;'Week 3'!$C$2:$C$500)))+(SUMPRODUCT(--('Week 3'!$G$2:$G$500=$A30),--('Week 3'!$I$2:$I$500=$H$28),--('Week 3'!$H$2:$H$500&gt;'Week 3'!$J$2:$J$500))+SUMPRODUCT(--('Week 3'!$G$2:$G$500=$H$28),--('Week 3'!$I$2:$I$500=$A30),--('Week 3'!$J$2:$J$500&gt;'Week 3'!$H$2:$H$500)))+(SUMPRODUCT(--('Week 4'!$B$2:$B$500=$A30),--('Week 4'!$D$2:$D$500=$H$28),--('Week 4'!$C$2:$C$500&gt;'Week 4'!$E$2:$E$500))+SUMPRODUCT(--('Week 4'!$B$2:$B$500=$H$28),--('Week 4'!$D$2:$D$500=$A30),--('Week 4'!$E$2:$E$500&gt;'Week 4'!$C$2:$C$500)))+(SUMPRODUCT(--('Week 4'!$G$2:$G$500=$A30),--('Week 4'!$I$2:$I$500=$H$28),--('Week 4'!$H$2:$H$500&gt;'Week 4'!$J$2:$J$500))+SUMPRODUCT(--('Week 4'!$G$2:$G$500=$H$28),--('Week 4'!$I$2:$I$500=$A30),--('Week 4'!$J$2:$J$500&gt;'Week 4'!$H$2:$H$500)))+(SUMPRODUCT(--('Week 5'!$B$2:$B$500=$A30),--('Week 5'!$D$2:$D$500=$H$28),--('Week 5'!$C$2:$C$500&gt;'Week 5'!$E$2:$E$500))+SUMPRODUCT(--('Week 5'!$B$2:$B$500=$H$28),--('Week 5'!$D$2:$D$500=$A30),--('Week 5'!$E$2:$E$500&gt;'Week 5'!$C$2:$C$500)))+(SUMPRODUCT(--('Week 5'!$G$2:$G$500=$A30),--('Week 5'!$I$2:$I$500=$H$28),--('Week 5'!$H$2:$H$500&gt;'Week 5'!$J$2:$J$500))+SUMPRODUCT(--('Week 5'!$G$2:$G$500=$H$28),--('Week 5'!$I$2:$I$500=$A30),--('Week 5'!$J$2:$J$500&gt;'Week 5'!$H$2:$H$500)))+(SUMPRODUCT(--('Week 6'!$B$2:$B$500=$A30),--('Week 6'!$D$2:$D$500=$H$28),--('Week 6'!$C$2:$C$500&gt;'Week 6'!$E$2:$E$500))+SUMPRODUCT(--('Week 6'!$B$2:$B$500=$H$28),--('Week 6'!$D$2:$D$500=$A30),--('Week 6'!$E$2:$E$500&gt;'Week 6'!$C$2:$C$500)))+(SUMPRODUCT(--('Week 6'!$G$2:$G$500=$A30),--('Week 6'!$I$2:$I$500=$H$28),--('Week 6'!$H$2:$H$500&gt;'Week 6'!$J$2:$J$500))+SUMPRODUCT(--('Week 6'!$G$2:$G$500=$H$28),--('Week 6'!$I$2:$I$500=$A30),--('Week 6'!$J$2:$J$500&gt;'Week 6'!$H$2:$H$500)))</f>
        <v/>
      </c>
      <c r="I30">
        <f>(SUMPRODUCT(--('Week 1'!$B$2:$B$500=$A30),--('Week 1'!$D$2:$D$500=$I$28),--('Week 1'!$C$2:$C$500&gt;'Week 1'!$E$2:$E$500))+SUMPRODUCT(--('Week 1'!$B$2:$B$500=$I$28),--('Week 1'!$D$2:$D$500=$A30),--('Week 1'!$E$2:$E$500&gt;'Week 1'!$C$2:$C$500)))+(SUMPRODUCT(--('Week 1'!$G$2:$G$500=$A30),--('Week 1'!$I$2:$I$500=$I$28),--('Week 1'!$H$2:$H$500&gt;'Week 1'!$J$2:$J$500))+SUMPRODUCT(--('Week 1'!$G$2:$G$500=$I$28),--('Week 1'!$I$2:$I$500=$A30),--('Week 1'!$J$2:$J$500&gt;'Week 1'!$H$2:$H$500)))+(SUMPRODUCT(--('Week 2'!$B$2:$B$500=$A30),--('Week 2'!$D$2:$D$500=$I$28),--('Week 2'!$C$2:$C$500&gt;'Week 2'!$E$2:$E$500))+SUMPRODUCT(--('Week 2'!$B$2:$B$500=$I$28),--('Week 2'!$D$2:$D$500=$A30),--('Week 2'!$E$2:$E$500&gt;'Week 2'!$C$2:$C$500)))+(SUMPRODUCT(--('Week 2'!$G$2:$G$500=$A30),--('Week 2'!$I$2:$I$500=$I$28),--('Week 2'!$H$2:$H$500&gt;'Week 2'!$J$2:$J$500))+SUMPRODUCT(--('Week 2'!$G$2:$G$500=$I$28),--('Week 2'!$I$2:$I$500=$A30),--('Week 2'!$J$2:$J$500&gt;'Week 2'!$H$2:$H$500)))+(SUMPRODUCT(--('Week 3'!$B$2:$B$500=$A30),--('Week 3'!$D$2:$D$500=$I$28),--('Week 3'!$C$2:$C$500&gt;'Week 3'!$E$2:$E$500))+SUMPRODUCT(--('Week 3'!$B$2:$B$500=$I$28),--('Week 3'!$D$2:$D$500=$A30),--('Week 3'!$E$2:$E$500&gt;'Week 3'!$C$2:$C$500)))+(SUMPRODUCT(--('Week 3'!$G$2:$G$500=$A30),--('Week 3'!$I$2:$I$500=$I$28),--('Week 3'!$H$2:$H$500&gt;'Week 3'!$J$2:$J$500))+SUMPRODUCT(--('Week 3'!$G$2:$G$500=$I$28),--('Week 3'!$I$2:$I$500=$A30),--('Week 3'!$J$2:$J$500&gt;'Week 3'!$H$2:$H$500)))+(SUMPRODUCT(--('Week 4'!$B$2:$B$500=$A30),--('Week 4'!$D$2:$D$500=$I$28),--('Week 4'!$C$2:$C$500&gt;'Week 4'!$E$2:$E$500))+SUMPRODUCT(--('Week 4'!$B$2:$B$500=$I$28),--('Week 4'!$D$2:$D$500=$A30),--('Week 4'!$E$2:$E$500&gt;'Week 4'!$C$2:$C$500)))+(SUMPRODUCT(--('Week 4'!$G$2:$G$500=$A30),--('Week 4'!$I$2:$I$500=$I$28),--('Week 4'!$H$2:$H$500&gt;'Week 4'!$J$2:$J$500))+SUMPRODUCT(--('Week 4'!$G$2:$G$500=$I$28),--('Week 4'!$I$2:$I$500=$A30),--('Week 4'!$J$2:$J$500&gt;'Week 4'!$H$2:$H$500)))+(SUMPRODUCT(--('Week 5'!$B$2:$B$500=$A30),--('Week 5'!$D$2:$D$500=$I$28),--('Week 5'!$C$2:$C$500&gt;'Week 5'!$E$2:$E$500))+SUMPRODUCT(--('Week 5'!$B$2:$B$500=$I$28),--('Week 5'!$D$2:$D$500=$A30),--('Week 5'!$E$2:$E$500&gt;'Week 5'!$C$2:$C$500)))+(SUMPRODUCT(--('Week 5'!$G$2:$G$500=$A30),--('Week 5'!$I$2:$I$500=$I$28),--('Week 5'!$H$2:$H$500&gt;'Week 5'!$J$2:$J$500))+SUMPRODUCT(--('Week 5'!$G$2:$G$500=$I$28),--('Week 5'!$I$2:$I$500=$A30),--('Week 5'!$J$2:$J$500&gt;'Week 5'!$H$2:$H$500)))+(SUMPRODUCT(--('Week 6'!$B$2:$B$500=$A30),--('Week 6'!$D$2:$D$500=$I$28),--('Week 6'!$C$2:$C$500&gt;'Week 6'!$E$2:$E$500))+SUMPRODUCT(--('Week 6'!$B$2:$B$500=$I$28),--('Week 6'!$D$2:$D$500=$A30),--('Week 6'!$E$2:$E$500&gt;'Week 6'!$C$2:$C$500)))+(SUMPRODUCT(--('Week 6'!$G$2:$G$500=$A30),--('Week 6'!$I$2:$I$500=$I$28),--('Week 6'!$H$2:$H$500&gt;'Week 6'!$J$2:$J$500))+SUMPRODUCT(--('Week 6'!$G$2:$G$500=$I$28),--('Week 6'!$I$2:$I$500=$A30),--('Week 6'!$J$2:$J$500&gt;'Week 6'!$H$2:$H$500)))</f>
        <v/>
      </c>
    </row>
    <row r="31">
      <c r="A31" t="inlineStr">
        <is>
          <t>Team 3</t>
        </is>
      </c>
      <c r="B31">
        <f>(SUMPRODUCT(--('Week 1'!$B$2:$B$500=$A31),--('Week 1'!$D$2:$D$500=$B$28),--('Week 1'!$C$2:$C$500&gt;'Week 1'!$E$2:$E$500))+SUMPRODUCT(--('Week 1'!$B$2:$B$500=$B$28),--('Week 1'!$D$2:$D$500=$A31),--('Week 1'!$E$2:$E$500&gt;'Week 1'!$C$2:$C$500)))+(SUMPRODUCT(--('Week 1'!$G$2:$G$500=$A31),--('Week 1'!$I$2:$I$500=$B$28),--('Week 1'!$H$2:$H$500&gt;'Week 1'!$J$2:$J$500))+SUMPRODUCT(--('Week 1'!$G$2:$G$500=$B$28),--('Week 1'!$I$2:$I$500=$A31),--('Week 1'!$J$2:$J$500&gt;'Week 1'!$H$2:$H$500)))+(SUMPRODUCT(--('Week 2'!$B$2:$B$500=$A31),--('Week 2'!$D$2:$D$500=$B$28),--('Week 2'!$C$2:$C$500&gt;'Week 2'!$E$2:$E$500))+SUMPRODUCT(--('Week 2'!$B$2:$B$500=$B$28),--('Week 2'!$D$2:$D$500=$A31),--('Week 2'!$E$2:$E$500&gt;'Week 2'!$C$2:$C$500)))+(SUMPRODUCT(--('Week 2'!$G$2:$G$500=$A31),--('Week 2'!$I$2:$I$500=$B$28),--('Week 2'!$H$2:$H$500&gt;'Week 2'!$J$2:$J$500))+SUMPRODUCT(--('Week 2'!$G$2:$G$500=$B$28),--('Week 2'!$I$2:$I$500=$A31),--('Week 2'!$J$2:$J$500&gt;'Week 2'!$H$2:$H$500)))+(SUMPRODUCT(--('Week 3'!$B$2:$B$500=$A31),--('Week 3'!$D$2:$D$500=$B$28),--('Week 3'!$C$2:$C$500&gt;'Week 3'!$E$2:$E$500))+SUMPRODUCT(--('Week 3'!$B$2:$B$500=$B$28),--('Week 3'!$D$2:$D$500=$A31),--('Week 3'!$E$2:$E$500&gt;'Week 3'!$C$2:$C$500)))+(SUMPRODUCT(--('Week 3'!$G$2:$G$500=$A31),--('Week 3'!$I$2:$I$500=$B$28),--('Week 3'!$H$2:$H$500&gt;'Week 3'!$J$2:$J$500))+SUMPRODUCT(--('Week 3'!$G$2:$G$500=$B$28),--('Week 3'!$I$2:$I$500=$A31),--('Week 3'!$J$2:$J$500&gt;'Week 3'!$H$2:$H$500)))+(SUMPRODUCT(--('Week 4'!$B$2:$B$500=$A31),--('Week 4'!$D$2:$D$500=$B$28),--('Week 4'!$C$2:$C$500&gt;'Week 4'!$E$2:$E$500))+SUMPRODUCT(--('Week 4'!$B$2:$B$500=$B$28),--('Week 4'!$D$2:$D$500=$A31),--('Week 4'!$E$2:$E$500&gt;'Week 4'!$C$2:$C$500)))+(SUMPRODUCT(--('Week 4'!$G$2:$G$500=$A31),--('Week 4'!$I$2:$I$500=$B$28),--('Week 4'!$H$2:$H$500&gt;'Week 4'!$J$2:$J$500))+SUMPRODUCT(--('Week 4'!$G$2:$G$500=$B$28),--('Week 4'!$I$2:$I$500=$A31),--('Week 4'!$J$2:$J$500&gt;'Week 4'!$H$2:$H$500)))+(SUMPRODUCT(--('Week 5'!$B$2:$B$500=$A31),--('Week 5'!$D$2:$D$500=$B$28),--('Week 5'!$C$2:$C$500&gt;'Week 5'!$E$2:$E$500))+SUMPRODUCT(--('Week 5'!$B$2:$B$500=$B$28),--('Week 5'!$D$2:$D$500=$A31),--('Week 5'!$E$2:$E$500&gt;'Week 5'!$C$2:$C$500)))+(SUMPRODUCT(--('Week 5'!$G$2:$G$500=$A31),--('Week 5'!$I$2:$I$500=$B$28),--('Week 5'!$H$2:$H$500&gt;'Week 5'!$J$2:$J$500))+SUMPRODUCT(--('Week 5'!$G$2:$G$500=$B$28),--('Week 5'!$I$2:$I$500=$A31),--('Week 5'!$J$2:$J$500&gt;'Week 5'!$H$2:$H$500)))+(SUMPRODUCT(--('Week 6'!$B$2:$B$500=$A31),--('Week 6'!$D$2:$D$500=$B$28),--('Week 6'!$C$2:$C$500&gt;'Week 6'!$E$2:$E$500))+SUMPRODUCT(--('Week 6'!$B$2:$B$500=$B$28),--('Week 6'!$D$2:$D$500=$A31),--('Week 6'!$E$2:$E$500&gt;'Week 6'!$C$2:$C$500)))+(SUMPRODUCT(--('Week 6'!$G$2:$G$500=$A31),--('Week 6'!$I$2:$I$500=$B$28),--('Week 6'!$H$2:$H$500&gt;'Week 6'!$J$2:$J$500))+SUMPRODUCT(--('Week 6'!$G$2:$G$500=$B$28),--('Week 6'!$I$2:$I$500=$A31),--('Week 6'!$J$2:$J$500&gt;'Week 6'!$H$2:$H$500)))</f>
        <v/>
      </c>
      <c r="C31">
        <f>(SUMPRODUCT(--('Week 1'!$B$2:$B$500=$A31),--('Week 1'!$D$2:$D$500=$C$28),--('Week 1'!$C$2:$C$500&gt;'Week 1'!$E$2:$E$500))+SUMPRODUCT(--('Week 1'!$B$2:$B$500=$C$28),--('Week 1'!$D$2:$D$500=$A31),--('Week 1'!$E$2:$E$500&gt;'Week 1'!$C$2:$C$500)))+(SUMPRODUCT(--('Week 1'!$G$2:$G$500=$A31),--('Week 1'!$I$2:$I$500=$C$28),--('Week 1'!$H$2:$H$500&gt;'Week 1'!$J$2:$J$500))+SUMPRODUCT(--('Week 1'!$G$2:$G$500=$C$28),--('Week 1'!$I$2:$I$500=$A31),--('Week 1'!$J$2:$J$500&gt;'Week 1'!$H$2:$H$500)))+(SUMPRODUCT(--('Week 2'!$B$2:$B$500=$A31),--('Week 2'!$D$2:$D$500=$C$28),--('Week 2'!$C$2:$C$500&gt;'Week 2'!$E$2:$E$500))+SUMPRODUCT(--('Week 2'!$B$2:$B$500=$C$28),--('Week 2'!$D$2:$D$500=$A31),--('Week 2'!$E$2:$E$500&gt;'Week 2'!$C$2:$C$500)))+(SUMPRODUCT(--('Week 2'!$G$2:$G$500=$A31),--('Week 2'!$I$2:$I$500=$C$28),--('Week 2'!$H$2:$H$500&gt;'Week 2'!$J$2:$J$500))+SUMPRODUCT(--('Week 2'!$G$2:$G$500=$C$28),--('Week 2'!$I$2:$I$500=$A31),--('Week 2'!$J$2:$J$500&gt;'Week 2'!$H$2:$H$500)))+(SUMPRODUCT(--('Week 3'!$B$2:$B$500=$A31),--('Week 3'!$D$2:$D$500=$C$28),--('Week 3'!$C$2:$C$500&gt;'Week 3'!$E$2:$E$500))+SUMPRODUCT(--('Week 3'!$B$2:$B$500=$C$28),--('Week 3'!$D$2:$D$500=$A31),--('Week 3'!$E$2:$E$500&gt;'Week 3'!$C$2:$C$500)))+(SUMPRODUCT(--('Week 3'!$G$2:$G$500=$A31),--('Week 3'!$I$2:$I$500=$C$28),--('Week 3'!$H$2:$H$500&gt;'Week 3'!$J$2:$J$500))+SUMPRODUCT(--('Week 3'!$G$2:$G$500=$C$28),--('Week 3'!$I$2:$I$500=$A31),--('Week 3'!$J$2:$J$500&gt;'Week 3'!$H$2:$H$500)))+(SUMPRODUCT(--('Week 4'!$B$2:$B$500=$A31),--('Week 4'!$D$2:$D$500=$C$28),--('Week 4'!$C$2:$C$500&gt;'Week 4'!$E$2:$E$500))+SUMPRODUCT(--('Week 4'!$B$2:$B$500=$C$28),--('Week 4'!$D$2:$D$500=$A31),--('Week 4'!$E$2:$E$500&gt;'Week 4'!$C$2:$C$500)))+(SUMPRODUCT(--('Week 4'!$G$2:$G$500=$A31),--('Week 4'!$I$2:$I$500=$C$28),--('Week 4'!$H$2:$H$500&gt;'Week 4'!$J$2:$J$500))+SUMPRODUCT(--('Week 4'!$G$2:$G$500=$C$28),--('Week 4'!$I$2:$I$500=$A31),--('Week 4'!$J$2:$J$500&gt;'Week 4'!$H$2:$H$500)))+(SUMPRODUCT(--('Week 5'!$B$2:$B$500=$A31),--('Week 5'!$D$2:$D$500=$C$28),--('Week 5'!$C$2:$C$500&gt;'Week 5'!$E$2:$E$500))+SUMPRODUCT(--('Week 5'!$B$2:$B$500=$C$28),--('Week 5'!$D$2:$D$500=$A31),--('Week 5'!$E$2:$E$500&gt;'Week 5'!$C$2:$C$500)))+(SUMPRODUCT(--('Week 5'!$G$2:$G$500=$A31),--('Week 5'!$I$2:$I$500=$C$28),--('Week 5'!$H$2:$H$500&gt;'Week 5'!$J$2:$J$500))+SUMPRODUCT(--('Week 5'!$G$2:$G$500=$C$28),--('Week 5'!$I$2:$I$500=$A31),--('Week 5'!$J$2:$J$500&gt;'Week 5'!$H$2:$H$500)))+(SUMPRODUCT(--('Week 6'!$B$2:$B$500=$A31),--('Week 6'!$D$2:$D$500=$C$28),--('Week 6'!$C$2:$C$500&gt;'Week 6'!$E$2:$E$500))+SUMPRODUCT(--('Week 6'!$B$2:$B$500=$C$28),--('Week 6'!$D$2:$D$500=$A31),--('Week 6'!$E$2:$E$500&gt;'Week 6'!$C$2:$C$500)))+(SUMPRODUCT(--('Week 6'!$G$2:$G$500=$A31),--('Week 6'!$I$2:$I$500=$C$28),--('Week 6'!$H$2:$H$500&gt;'Week 6'!$J$2:$J$500))+SUMPRODUCT(--('Week 6'!$G$2:$G$500=$C$28),--('Week 6'!$I$2:$I$500=$A31),--('Week 6'!$J$2:$J$500&gt;'Week 6'!$H$2:$H$500)))</f>
        <v/>
      </c>
      <c r="D31" t="inlineStr">
        <is>
          <t>—</t>
        </is>
      </c>
      <c r="E31">
        <f>(SUMPRODUCT(--('Week 1'!$B$2:$B$500=$A31),--('Week 1'!$D$2:$D$500=$E$28),--('Week 1'!$C$2:$C$500&gt;'Week 1'!$E$2:$E$500))+SUMPRODUCT(--('Week 1'!$B$2:$B$500=$E$28),--('Week 1'!$D$2:$D$500=$A31),--('Week 1'!$E$2:$E$500&gt;'Week 1'!$C$2:$C$500)))+(SUMPRODUCT(--('Week 1'!$G$2:$G$500=$A31),--('Week 1'!$I$2:$I$500=$E$28),--('Week 1'!$H$2:$H$500&gt;'Week 1'!$J$2:$J$500))+SUMPRODUCT(--('Week 1'!$G$2:$G$500=$E$28),--('Week 1'!$I$2:$I$500=$A31),--('Week 1'!$J$2:$J$500&gt;'Week 1'!$H$2:$H$500)))+(SUMPRODUCT(--('Week 2'!$B$2:$B$500=$A31),--('Week 2'!$D$2:$D$500=$E$28),--('Week 2'!$C$2:$C$500&gt;'Week 2'!$E$2:$E$500))+SUMPRODUCT(--('Week 2'!$B$2:$B$500=$E$28),--('Week 2'!$D$2:$D$500=$A31),--('Week 2'!$E$2:$E$500&gt;'Week 2'!$C$2:$C$500)))+(SUMPRODUCT(--('Week 2'!$G$2:$G$500=$A31),--('Week 2'!$I$2:$I$500=$E$28),--('Week 2'!$H$2:$H$500&gt;'Week 2'!$J$2:$J$500))+SUMPRODUCT(--('Week 2'!$G$2:$G$500=$E$28),--('Week 2'!$I$2:$I$500=$A31),--('Week 2'!$J$2:$J$500&gt;'Week 2'!$H$2:$H$500)))+(SUMPRODUCT(--('Week 3'!$B$2:$B$500=$A31),--('Week 3'!$D$2:$D$500=$E$28),--('Week 3'!$C$2:$C$500&gt;'Week 3'!$E$2:$E$500))+SUMPRODUCT(--('Week 3'!$B$2:$B$500=$E$28),--('Week 3'!$D$2:$D$500=$A31),--('Week 3'!$E$2:$E$500&gt;'Week 3'!$C$2:$C$500)))+(SUMPRODUCT(--('Week 3'!$G$2:$G$500=$A31),--('Week 3'!$I$2:$I$500=$E$28),--('Week 3'!$H$2:$H$500&gt;'Week 3'!$J$2:$J$500))+SUMPRODUCT(--('Week 3'!$G$2:$G$500=$E$28),--('Week 3'!$I$2:$I$500=$A31),--('Week 3'!$J$2:$J$500&gt;'Week 3'!$H$2:$H$500)))+(SUMPRODUCT(--('Week 4'!$B$2:$B$500=$A31),--('Week 4'!$D$2:$D$500=$E$28),--('Week 4'!$C$2:$C$500&gt;'Week 4'!$E$2:$E$500))+SUMPRODUCT(--('Week 4'!$B$2:$B$500=$E$28),--('Week 4'!$D$2:$D$500=$A31),--('Week 4'!$E$2:$E$500&gt;'Week 4'!$C$2:$C$500)))+(SUMPRODUCT(--('Week 4'!$G$2:$G$500=$A31),--('Week 4'!$I$2:$I$500=$E$28),--('Week 4'!$H$2:$H$500&gt;'Week 4'!$J$2:$J$500))+SUMPRODUCT(--('Week 4'!$G$2:$G$500=$E$28),--('Week 4'!$I$2:$I$500=$A31),--('Week 4'!$J$2:$J$500&gt;'Week 4'!$H$2:$H$500)))+(SUMPRODUCT(--('Week 5'!$B$2:$B$500=$A31),--('Week 5'!$D$2:$D$500=$E$28),--('Week 5'!$C$2:$C$500&gt;'Week 5'!$E$2:$E$500))+SUMPRODUCT(--('Week 5'!$B$2:$B$500=$E$28),--('Week 5'!$D$2:$D$500=$A31),--('Week 5'!$E$2:$E$500&gt;'Week 5'!$C$2:$C$500)))+(SUMPRODUCT(--('Week 5'!$G$2:$G$500=$A31),--('Week 5'!$I$2:$I$500=$E$28),--('Week 5'!$H$2:$H$500&gt;'Week 5'!$J$2:$J$500))+SUMPRODUCT(--('Week 5'!$G$2:$G$500=$E$28),--('Week 5'!$I$2:$I$500=$A31),--('Week 5'!$J$2:$J$500&gt;'Week 5'!$H$2:$H$500)))+(SUMPRODUCT(--('Week 6'!$B$2:$B$500=$A31),--('Week 6'!$D$2:$D$500=$E$28),--('Week 6'!$C$2:$C$500&gt;'Week 6'!$E$2:$E$500))+SUMPRODUCT(--('Week 6'!$B$2:$B$500=$E$28),--('Week 6'!$D$2:$D$500=$A31),--('Week 6'!$E$2:$E$500&gt;'Week 6'!$C$2:$C$500)))+(SUMPRODUCT(--('Week 6'!$G$2:$G$500=$A31),--('Week 6'!$I$2:$I$500=$E$28),--('Week 6'!$H$2:$H$500&gt;'Week 6'!$J$2:$J$500))+SUMPRODUCT(--('Week 6'!$G$2:$G$500=$E$28),--('Week 6'!$I$2:$I$500=$A31),--('Week 6'!$J$2:$J$500&gt;'Week 6'!$H$2:$H$500)))</f>
        <v/>
      </c>
      <c r="F31">
        <f>(SUMPRODUCT(--('Week 1'!$B$2:$B$500=$A31),--('Week 1'!$D$2:$D$500=$F$28),--('Week 1'!$C$2:$C$500&gt;'Week 1'!$E$2:$E$500))+SUMPRODUCT(--('Week 1'!$B$2:$B$500=$F$28),--('Week 1'!$D$2:$D$500=$A31),--('Week 1'!$E$2:$E$500&gt;'Week 1'!$C$2:$C$500)))+(SUMPRODUCT(--('Week 1'!$G$2:$G$500=$A31),--('Week 1'!$I$2:$I$500=$F$28),--('Week 1'!$H$2:$H$500&gt;'Week 1'!$J$2:$J$500))+SUMPRODUCT(--('Week 1'!$G$2:$G$500=$F$28),--('Week 1'!$I$2:$I$500=$A31),--('Week 1'!$J$2:$J$500&gt;'Week 1'!$H$2:$H$500)))+(SUMPRODUCT(--('Week 2'!$B$2:$B$500=$A31),--('Week 2'!$D$2:$D$500=$F$28),--('Week 2'!$C$2:$C$500&gt;'Week 2'!$E$2:$E$500))+SUMPRODUCT(--('Week 2'!$B$2:$B$500=$F$28),--('Week 2'!$D$2:$D$500=$A31),--('Week 2'!$E$2:$E$500&gt;'Week 2'!$C$2:$C$500)))+(SUMPRODUCT(--('Week 2'!$G$2:$G$500=$A31),--('Week 2'!$I$2:$I$500=$F$28),--('Week 2'!$H$2:$H$500&gt;'Week 2'!$J$2:$J$500))+SUMPRODUCT(--('Week 2'!$G$2:$G$500=$F$28),--('Week 2'!$I$2:$I$500=$A31),--('Week 2'!$J$2:$J$500&gt;'Week 2'!$H$2:$H$500)))+(SUMPRODUCT(--('Week 3'!$B$2:$B$500=$A31),--('Week 3'!$D$2:$D$500=$F$28),--('Week 3'!$C$2:$C$500&gt;'Week 3'!$E$2:$E$500))+SUMPRODUCT(--('Week 3'!$B$2:$B$500=$F$28),--('Week 3'!$D$2:$D$500=$A31),--('Week 3'!$E$2:$E$500&gt;'Week 3'!$C$2:$C$500)))+(SUMPRODUCT(--('Week 3'!$G$2:$G$500=$A31),--('Week 3'!$I$2:$I$500=$F$28),--('Week 3'!$H$2:$H$500&gt;'Week 3'!$J$2:$J$500))+SUMPRODUCT(--('Week 3'!$G$2:$G$500=$F$28),--('Week 3'!$I$2:$I$500=$A31),--('Week 3'!$J$2:$J$500&gt;'Week 3'!$H$2:$H$500)))+(SUMPRODUCT(--('Week 4'!$B$2:$B$500=$A31),--('Week 4'!$D$2:$D$500=$F$28),--('Week 4'!$C$2:$C$500&gt;'Week 4'!$E$2:$E$500))+SUMPRODUCT(--('Week 4'!$B$2:$B$500=$F$28),--('Week 4'!$D$2:$D$500=$A31),--('Week 4'!$E$2:$E$500&gt;'Week 4'!$C$2:$C$500)))+(SUMPRODUCT(--('Week 4'!$G$2:$G$500=$A31),--('Week 4'!$I$2:$I$500=$F$28),--('Week 4'!$H$2:$H$500&gt;'Week 4'!$J$2:$J$500))+SUMPRODUCT(--('Week 4'!$G$2:$G$500=$F$28),--('Week 4'!$I$2:$I$500=$A31),--('Week 4'!$J$2:$J$500&gt;'Week 4'!$H$2:$H$500)))+(SUMPRODUCT(--('Week 5'!$B$2:$B$500=$A31),--('Week 5'!$D$2:$D$500=$F$28),--('Week 5'!$C$2:$C$500&gt;'Week 5'!$E$2:$E$500))+SUMPRODUCT(--('Week 5'!$B$2:$B$500=$F$28),--('Week 5'!$D$2:$D$500=$A31),--('Week 5'!$E$2:$E$500&gt;'Week 5'!$C$2:$C$500)))+(SUMPRODUCT(--('Week 5'!$G$2:$G$500=$A31),--('Week 5'!$I$2:$I$500=$F$28),--('Week 5'!$H$2:$H$500&gt;'Week 5'!$J$2:$J$500))+SUMPRODUCT(--('Week 5'!$G$2:$G$500=$F$28),--('Week 5'!$I$2:$I$500=$A31),--('Week 5'!$J$2:$J$500&gt;'Week 5'!$H$2:$H$500)))+(SUMPRODUCT(--('Week 6'!$B$2:$B$500=$A31),--('Week 6'!$D$2:$D$500=$F$28),--('Week 6'!$C$2:$C$500&gt;'Week 6'!$E$2:$E$500))+SUMPRODUCT(--('Week 6'!$B$2:$B$500=$F$28),--('Week 6'!$D$2:$D$500=$A31),--('Week 6'!$E$2:$E$500&gt;'Week 6'!$C$2:$C$500)))+(SUMPRODUCT(--('Week 6'!$G$2:$G$500=$A31),--('Week 6'!$I$2:$I$500=$F$28),--('Week 6'!$H$2:$H$500&gt;'Week 6'!$J$2:$J$500))+SUMPRODUCT(--('Week 6'!$G$2:$G$500=$F$28),--('Week 6'!$I$2:$I$500=$A31),--('Week 6'!$J$2:$J$500&gt;'Week 6'!$H$2:$H$500)))</f>
        <v/>
      </c>
      <c r="G31">
        <f>(SUMPRODUCT(--('Week 1'!$B$2:$B$500=$A31),--('Week 1'!$D$2:$D$500=$G$28),--('Week 1'!$C$2:$C$500&gt;'Week 1'!$E$2:$E$500))+SUMPRODUCT(--('Week 1'!$B$2:$B$500=$G$28),--('Week 1'!$D$2:$D$500=$A31),--('Week 1'!$E$2:$E$500&gt;'Week 1'!$C$2:$C$500)))+(SUMPRODUCT(--('Week 1'!$G$2:$G$500=$A31),--('Week 1'!$I$2:$I$500=$G$28),--('Week 1'!$H$2:$H$500&gt;'Week 1'!$J$2:$J$500))+SUMPRODUCT(--('Week 1'!$G$2:$G$500=$G$28),--('Week 1'!$I$2:$I$500=$A31),--('Week 1'!$J$2:$J$500&gt;'Week 1'!$H$2:$H$500)))+(SUMPRODUCT(--('Week 2'!$B$2:$B$500=$A31),--('Week 2'!$D$2:$D$500=$G$28),--('Week 2'!$C$2:$C$500&gt;'Week 2'!$E$2:$E$500))+SUMPRODUCT(--('Week 2'!$B$2:$B$500=$G$28),--('Week 2'!$D$2:$D$500=$A31),--('Week 2'!$E$2:$E$500&gt;'Week 2'!$C$2:$C$500)))+(SUMPRODUCT(--('Week 2'!$G$2:$G$500=$A31),--('Week 2'!$I$2:$I$500=$G$28),--('Week 2'!$H$2:$H$500&gt;'Week 2'!$J$2:$J$500))+SUMPRODUCT(--('Week 2'!$G$2:$G$500=$G$28),--('Week 2'!$I$2:$I$500=$A31),--('Week 2'!$J$2:$J$500&gt;'Week 2'!$H$2:$H$500)))+(SUMPRODUCT(--('Week 3'!$B$2:$B$500=$A31),--('Week 3'!$D$2:$D$500=$G$28),--('Week 3'!$C$2:$C$500&gt;'Week 3'!$E$2:$E$500))+SUMPRODUCT(--('Week 3'!$B$2:$B$500=$G$28),--('Week 3'!$D$2:$D$500=$A31),--('Week 3'!$E$2:$E$500&gt;'Week 3'!$C$2:$C$500)))+(SUMPRODUCT(--('Week 3'!$G$2:$G$500=$A31),--('Week 3'!$I$2:$I$500=$G$28),--('Week 3'!$H$2:$H$500&gt;'Week 3'!$J$2:$J$500))+SUMPRODUCT(--('Week 3'!$G$2:$G$500=$G$28),--('Week 3'!$I$2:$I$500=$A31),--('Week 3'!$J$2:$J$500&gt;'Week 3'!$H$2:$H$500)))+(SUMPRODUCT(--('Week 4'!$B$2:$B$500=$A31),--('Week 4'!$D$2:$D$500=$G$28),--('Week 4'!$C$2:$C$500&gt;'Week 4'!$E$2:$E$500))+SUMPRODUCT(--('Week 4'!$B$2:$B$500=$G$28),--('Week 4'!$D$2:$D$500=$A31),--('Week 4'!$E$2:$E$500&gt;'Week 4'!$C$2:$C$500)))+(SUMPRODUCT(--('Week 4'!$G$2:$G$500=$A31),--('Week 4'!$I$2:$I$500=$G$28),--('Week 4'!$H$2:$H$500&gt;'Week 4'!$J$2:$J$500))+SUMPRODUCT(--('Week 4'!$G$2:$G$500=$G$28),--('Week 4'!$I$2:$I$500=$A31),--('Week 4'!$J$2:$J$500&gt;'Week 4'!$H$2:$H$500)))+(SUMPRODUCT(--('Week 5'!$B$2:$B$500=$A31),--('Week 5'!$D$2:$D$500=$G$28),--('Week 5'!$C$2:$C$500&gt;'Week 5'!$E$2:$E$500))+SUMPRODUCT(--('Week 5'!$B$2:$B$500=$G$28),--('Week 5'!$D$2:$D$500=$A31),--('Week 5'!$E$2:$E$500&gt;'Week 5'!$C$2:$C$500)))+(SUMPRODUCT(--('Week 5'!$G$2:$G$500=$A31),--('Week 5'!$I$2:$I$500=$G$28),--('Week 5'!$H$2:$H$500&gt;'Week 5'!$J$2:$J$500))+SUMPRODUCT(--('Week 5'!$G$2:$G$500=$G$28),--('Week 5'!$I$2:$I$500=$A31),--('Week 5'!$J$2:$J$500&gt;'Week 5'!$H$2:$H$500)))+(SUMPRODUCT(--('Week 6'!$B$2:$B$500=$A31),--('Week 6'!$D$2:$D$500=$G$28),--('Week 6'!$C$2:$C$500&gt;'Week 6'!$E$2:$E$500))+SUMPRODUCT(--('Week 6'!$B$2:$B$500=$G$28),--('Week 6'!$D$2:$D$500=$A31),--('Week 6'!$E$2:$E$500&gt;'Week 6'!$C$2:$C$500)))+(SUMPRODUCT(--('Week 6'!$G$2:$G$500=$A31),--('Week 6'!$I$2:$I$500=$G$28),--('Week 6'!$H$2:$H$500&gt;'Week 6'!$J$2:$J$500))+SUMPRODUCT(--('Week 6'!$G$2:$G$500=$G$28),--('Week 6'!$I$2:$I$500=$A31),--('Week 6'!$J$2:$J$500&gt;'Week 6'!$H$2:$H$500)))</f>
        <v/>
      </c>
      <c r="H31">
        <f>(SUMPRODUCT(--('Week 1'!$B$2:$B$500=$A31),--('Week 1'!$D$2:$D$500=$H$28),--('Week 1'!$C$2:$C$500&gt;'Week 1'!$E$2:$E$500))+SUMPRODUCT(--('Week 1'!$B$2:$B$500=$H$28),--('Week 1'!$D$2:$D$500=$A31),--('Week 1'!$E$2:$E$500&gt;'Week 1'!$C$2:$C$500)))+(SUMPRODUCT(--('Week 1'!$G$2:$G$500=$A31),--('Week 1'!$I$2:$I$500=$H$28),--('Week 1'!$H$2:$H$500&gt;'Week 1'!$J$2:$J$500))+SUMPRODUCT(--('Week 1'!$G$2:$G$500=$H$28),--('Week 1'!$I$2:$I$500=$A31),--('Week 1'!$J$2:$J$500&gt;'Week 1'!$H$2:$H$500)))+(SUMPRODUCT(--('Week 2'!$B$2:$B$500=$A31),--('Week 2'!$D$2:$D$500=$H$28),--('Week 2'!$C$2:$C$500&gt;'Week 2'!$E$2:$E$500))+SUMPRODUCT(--('Week 2'!$B$2:$B$500=$H$28),--('Week 2'!$D$2:$D$500=$A31),--('Week 2'!$E$2:$E$500&gt;'Week 2'!$C$2:$C$500)))+(SUMPRODUCT(--('Week 2'!$G$2:$G$500=$A31),--('Week 2'!$I$2:$I$500=$H$28),--('Week 2'!$H$2:$H$500&gt;'Week 2'!$J$2:$J$500))+SUMPRODUCT(--('Week 2'!$G$2:$G$500=$H$28),--('Week 2'!$I$2:$I$500=$A31),--('Week 2'!$J$2:$J$500&gt;'Week 2'!$H$2:$H$500)))+(SUMPRODUCT(--('Week 3'!$B$2:$B$500=$A31),--('Week 3'!$D$2:$D$500=$H$28),--('Week 3'!$C$2:$C$500&gt;'Week 3'!$E$2:$E$500))+SUMPRODUCT(--('Week 3'!$B$2:$B$500=$H$28),--('Week 3'!$D$2:$D$500=$A31),--('Week 3'!$E$2:$E$500&gt;'Week 3'!$C$2:$C$500)))+(SUMPRODUCT(--('Week 3'!$G$2:$G$500=$A31),--('Week 3'!$I$2:$I$500=$H$28),--('Week 3'!$H$2:$H$500&gt;'Week 3'!$J$2:$J$500))+SUMPRODUCT(--('Week 3'!$G$2:$G$500=$H$28),--('Week 3'!$I$2:$I$500=$A31),--('Week 3'!$J$2:$J$500&gt;'Week 3'!$H$2:$H$500)))+(SUMPRODUCT(--('Week 4'!$B$2:$B$500=$A31),--('Week 4'!$D$2:$D$500=$H$28),--('Week 4'!$C$2:$C$500&gt;'Week 4'!$E$2:$E$500))+SUMPRODUCT(--('Week 4'!$B$2:$B$500=$H$28),--('Week 4'!$D$2:$D$500=$A31),--('Week 4'!$E$2:$E$500&gt;'Week 4'!$C$2:$C$500)))+(SUMPRODUCT(--('Week 4'!$G$2:$G$500=$A31),--('Week 4'!$I$2:$I$500=$H$28),--('Week 4'!$H$2:$H$500&gt;'Week 4'!$J$2:$J$500))+SUMPRODUCT(--('Week 4'!$G$2:$G$500=$H$28),--('Week 4'!$I$2:$I$500=$A31),--('Week 4'!$J$2:$J$500&gt;'Week 4'!$H$2:$H$500)))+(SUMPRODUCT(--('Week 5'!$B$2:$B$500=$A31),--('Week 5'!$D$2:$D$500=$H$28),--('Week 5'!$C$2:$C$500&gt;'Week 5'!$E$2:$E$500))+SUMPRODUCT(--('Week 5'!$B$2:$B$500=$H$28),--('Week 5'!$D$2:$D$500=$A31),--('Week 5'!$E$2:$E$500&gt;'Week 5'!$C$2:$C$500)))+(SUMPRODUCT(--('Week 5'!$G$2:$G$500=$A31),--('Week 5'!$I$2:$I$500=$H$28),--('Week 5'!$H$2:$H$500&gt;'Week 5'!$J$2:$J$500))+SUMPRODUCT(--('Week 5'!$G$2:$G$500=$H$28),--('Week 5'!$I$2:$I$500=$A31),--('Week 5'!$J$2:$J$500&gt;'Week 5'!$H$2:$H$500)))+(SUMPRODUCT(--('Week 6'!$B$2:$B$500=$A31),--('Week 6'!$D$2:$D$500=$H$28),--('Week 6'!$C$2:$C$500&gt;'Week 6'!$E$2:$E$500))+SUMPRODUCT(--('Week 6'!$B$2:$B$500=$H$28),--('Week 6'!$D$2:$D$500=$A31),--('Week 6'!$E$2:$E$500&gt;'Week 6'!$C$2:$C$500)))+(SUMPRODUCT(--('Week 6'!$G$2:$G$500=$A31),--('Week 6'!$I$2:$I$500=$H$28),--('Week 6'!$H$2:$H$500&gt;'Week 6'!$J$2:$J$500))+SUMPRODUCT(--('Week 6'!$G$2:$G$500=$H$28),--('Week 6'!$I$2:$I$500=$A31),--('Week 6'!$J$2:$J$500&gt;'Week 6'!$H$2:$H$500)))</f>
        <v/>
      </c>
      <c r="I31">
        <f>(SUMPRODUCT(--('Week 1'!$B$2:$B$500=$A31),--('Week 1'!$D$2:$D$500=$I$28),--('Week 1'!$C$2:$C$500&gt;'Week 1'!$E$2:$E$500))+SUMPRODUCT(--('Week 1'!$B$2:$B$500=$I$28),--('Week 1'!$D$2:$D$500=$A31),--('Week 1'!$E$2:$E$500&gt;'Week 1'!$C$2:$C$500)))+(SUMPRODUCT(--('Week 1'!$G$2:$G$500=$A31),--('Week 1'!$I$2:$I$500=$I$28),--('Week 1'!$H$2:$H$500&gt;'Week 1'!$J$2:$J$500))+SUMPRODUCT(--('Week 1'!$G$2:$G$500=$I$28),--('Week 1'!$I$2:$I$500=$A31),--('Week 1'!$J$2:$J$500&gt;'Week 1'!$H$2:$H$500)))+(SUMPRODUCT(--('Week 2'!$B$2:$B$500=$A31),--('Week 2'!$D$2:$D$500=$I$28),--('Week 2'!$C$2:$C$500&gt;'Week 2'!$E$2:$E$500))+SUMPRODUCT(--('Week 2'!$B$2:$B$500=$I$28),--('Week 2'!$D$2:$D$500=$A31),--('Week 2'!$E$2:$E$500&gt;'Week 2'!$C$2:$C$500)))+(SUMPRODUCT(--('Week 2'!$G$2:$G$500=$A31),--('Week 2'!$I$2:$I$500=$I$28),--('Week 2'!$H$2:$H$500&gt;'Week 2'!$J$2:$J$500))+SUMPRODUCT(--('Week 2'!$G$2:$G$500=$I$28),--('Week 2'!$I$2:$I$500=$A31),--('Week 2'!$J$2:$J$500&gt;'Week 2'!$H$2:$H$500)))+(SUMPRODUCT(--('Week 3'!$B$2:$B$500=$A31),--('Week 3'!$D$2:$D$500=$I$28),--('Week 3'!$C$2:$C$500&gt;'Week 3'!$E$2:$E$500))+SUMPRODUCT(--('Week 3'!$B$2:$B$500=$I$28),--('Week 3'!$D$2:$D$500=$A31),--('Week 3'!$E$2:$E$500&gt;'Week 3'!$C$2:$C$500)))+(SUMPRODUCT(--('Week 3'!$G$2:$G$500=$A31),--('Week 3'!$I$2:$I$500=$I$28),--('Week 3'!$H$2:$H$500&gt;'Week 3'!$J$2:$J$500))+SUMPRODUCT(--('Week 3'!$G$2:$G$500=$I$28),--('Week 3'!$I$2:$I$500=$A31),--('Week 3'!$J$2:$J$500&gt;'Week 3'!$H$2:$H$500)))+(SUMPRODUCT(--('Week 4'!$B$2:$B$500=$A31),--('Week 4'!$D$2:$D$500=$I$28),--('Week 4'!$C$2:$C$500&gt;'Week 4'!$E$2:$E$500))+SUMPRODUCT(--('Week 4'!$B$2:$B$500=$I$28),--('Week 4'!$D$2:$D$500=$A31),--('Week 4'!$E$2:$E$500&gt;'Week 4'!$C$2:$C$500)))+(SUMPRODUCT(--('Week 4'!$G$2:$G$500=$A31),--('Week 4'!$I$2:$I$500=$I$28),--('Week 4'!$H$2:$H$500&gt;'Week 4'!$J$2:$J$500))+SUMPRODUCT(--('Week 4'!$G$2:$G$500=$I$28),--('Week 4'!$I$2:$I$500=$A31),--('Week 4'!$J$2:$J$500&gt;'Week 4'!$H$2:$H$500)))+(SUMPRODUCT(--('Week 5'!$B$2:$B$500=$A31),--('Week 5'!$D$2:$D$500=$I$28),--('Week 5'!$C$2:$C$500&gt;'Week 5'!$E$2:$E$500))+SUMPRODUCT(--('Week 5'!$B$2:$B$500=$I$28),--('Week 5'!$D$2:$D$500=$A31),--('Week 5'!$E$2:$E$500&gt;'Week 5'!$C$2:$C$500)))+(SUMPRODUCT(--('Week 5'!$G$2:$G$500=$A31),--('Week 5'!$I$2:$I$500=$I$28),--('Week 5'!$H$2:$H$500&gt;'Week 5'!$J$2:$J$500))+SUMPRODUCT(--('Week 5'!$G$2:$G$500=$I$28),--('Week 5'!$I$2:$I$500=$A31),--('Week 5'!$J$2:$J$500&gt;'Week 5'!$H$2:$H$500)))+(SUMPRODUCT(--('Week 6'!$B$2:$B$500=$A31),--('Week 6'!$D$2:$D$500=$I$28),--('Week 6'!$C$2:$C$500&gt;'Week 6'!$E$2:$E$500))+SUMPRODUCT(--('Week 6'!$B$2:$B$500=$I$28),--('Week 6'!$D$2:$D$500=$A31),--('Week 6'!$E$2:$E$500&gt;'Week 6'!$C$2:$C$500)))+(SUMPRODUCT(--('Week 6'!$G$2:$G$500=$A31),--('Week 6'!$I$2:$I$500=$I$28),--('Week 6'!$H$2:$H$500&gt;'Week 6'!$J$2:$J$500))+SUMPRODUCT(--('Week 6'!$G$2:$G$500=$I$28),--('Week 6'!$I$2:$I$500=$A31),--('Week 6'!$J$2:$J$500&gt;'Week 6'!$H$2:$H$500)))</f>
        <v/>
      </c>
    </row>
    <row r="32">
      <c r="A32" t="inlineStr">
        <is>
          <t>Team 4</t>
        </is>
      </c>
      <c r="B32">
        <f>(SUMPRODUCT(--('Week 1'!$B$2:$B$500=$A32),--('Week 1'!$D$2:$D$500=$B$28),--('Week 1'!$C$2:$C$500&gt;'Week 1'!$E$2:$E$500))+SUMPRODUCT(--('Week 1'!$B$2:$B$500=$B$28),--('Week 1'!$D$2:$D$500=$A32),--('Week 1'!$E$2:$E$500&gt;'Week 1'!$C$2:$C$500)))+(SUMPRODUCT(--('Week 1'!$G$2:$G$500=$A32),--('Week 1'!$I$2:$I$500=$B$28),--('Week 1'!$H$2:$H$500&gt;'Week 1'!$J$2:$J$500))+SUMPRODUCT(--('Week 1'!$G$2:$G$500=$B$28),--('Week 1'!$I$2:$I$500=$A32),--('Week 1'!$J$2:$J$500&gt;'Week 1'!$H$2:$H$500)))+(SUMPRODUCT(--('Week 2'!$B$2:$B$500=$A32),--('Week 2'!$D$2:$D$500=$B$28),--('Week 2'!$C$2:$C$500&gt;'Week 2'!$E$2:$E$500))+SUMPRODUCT(--('Week 2'!$B$2:$B$500=$B$28),--('Week 2'!$D$2:$D$500=$A32),--('Week 2'!$E$2:$E$500&gt;'Week 2'!$C$2:$C$500)))+(SUMPRODUCT(--('Week 2'!$G$2:$G$500=$A32),--('Week 2'!$I$2:$I$500=$B$28),--('Week 2'!$H$2:$H$500&gt;'Week 2'!$J$2:$J$500))+SUMPRODUCT(--('Week 2'!$G$2:$G$500=$B$28),--('Week 2'!$I$2:$I$500=$A32),--('Week 2'!$J$2:$J$500&gt;'Week 2'!$H$2:$H$500)))+(SUMPRODUCT(--('Week 3'!$B$2:$B$500=$A32),--('Week 3'!$D$2:$D$500=$B$28),--('Week 3'!$C$2:$C$500&gt;'Week 3'!$E$2:$E$500))+SUMPRODUCT(--('Week 3'!$B$2:$B$500=$B$28),--('Week 3'!$D$2:$D$500=$A32),--('Week 3'!$E$2:$E$500&gt;'Week 3'!$C$2:$C$500)))+(SUMPRODUCT(--('Week 3'!$G$2:$G$500=$A32),--('Week 3'!$I$2:$I$500=$B$28),--('Week 3'!$H$2:$H$500&gt;'Week 3'!$J$2:$J$500))+SUMPRODUCT(--('Week 3'!$G$2:$G$500=$B$28),--('Week 3'!$I$2:$I$500=$A32),--('Week 3'!$J$2:$J$500&gt;'Week 3'!$H$2:$H$500)))+(SUMPRODUCT(--('Week 4'!$B$2:$B$500=$A32),--('Week 4'!$D$2:$D$500=$B$28),--('Week 4'!$C$2:$C$500&gt;'Week 4'!$E$2:$E$500))+SUMPRODUCT(--('Week 4'!$B$2:$B$500=$B$28),--('Week 4'!$D$2:$D$500=$A32),--('Week 4'!$E$2:$E$500&gt;'Week 4'!$C$2:$C$500)))+(SUMPRODUCT(--('Week 4'!$G$2:$G$500=$A32),--('Week 4'!$I$2:$I$500=$B$28),--('Week 4'!$H$2:$H$500&gt;'Week 4'!$J$2:$J$500))+SUMPRODUCT(--('Week 4'!$G$2:$G$500=$B$28),--('Week 4'!$I$2:$I$500=$A32),--('Week 4'!$J$2:$J$500&gt;'Week 4'!$H$2:$H$500)))+(SUMPRODUCT(--('Week 5'!$B$2:$B$500=$A32),--('Week 5'!$D$2:$D$500=$B$28),--('Week 5'!$C$2:$C$500&gt;'Week 5'!$E$2:$E$500))+SUMPRODUCT(--('Week 5'!$B$2:$B$500=$B$28),--('Week 5'!$D$2:$D$500=$A32),--('Week 5'!$E$2:$E$500&gt;'Week 5'!$C$2:$C$500)))+(SUMPRODUCT(--('Week 5'!$G$2:$G$500=$A32),--('Week 5'!$I$2:$I$500=$B$28),--('Week 5'!$H$2:$H$500&gt;'Week 5'!$J$2:$J$500))+SUMPRODUCT(--('Week 5'!$G$2:$G$500=$B$28),--('Week 5'!$I$2:$I$500=$A32),--('Week 5'!$J$2:$J$500&gt;'Week 5'!$H$2:$H$500)))+(SUMPRODUCT(--('Week 6'!$B$2:$B$500=$A32),--('Week 6'!$D$2:$D$500=$B$28),--('Week 6'!$C$2:$C$500&gt;'Week 6'!$E$2:$E$500))+SUMPRODUCT(--('Week 6'!$B$2:$B$500=$B$28),--('Week 6'!$D$2:$D$500=$A32),--('Week 6'!$E$2:$E$500&gt;'Week 6'!$C$2:$C$500)))+(SUMPRODUCT(--('Week 6'!$G$2:$G$500=$A32),--('Week 6'!$I$2:$I$500=$B$28),--('Week 6'!$H$2:$H$500&gt;'Week 6'!$J$2:$J$500))+SUMPRODUCT(--('Week 6'!$G$2:$G$500=$B$28),--('Week 6'!$I$2:$I$500=$A32),--('Week 6'!$J$2:$J$500&gt;'Week 6'!$H$2:$H$500)))</f>
        <v/>
      </c>
      <c r="C32">
        <f>(SUMPRODUCT(--('Week 1'!$B$2:$B$500=$A32),--('Week 1'!$D$2:$D$500=$C$28),--('Week 1'!$C$2:$C$500&gt;'Week 1'!$E$2:$E$500))+SUMPRODUCT(--('Week 1'!$B$2:$B$500=$C$28),--('Week 1'!$D$2:$D$500=$A32),--('Week 1'!$E$2:$E$500&gt;'Week 1'!$C$2:$C$500)))+(SUMPRODUCT(--('Week 1'!$G$2:$G$500=$A32),--('Week 1'!$I$2:$I$500=$C$28),--('Week 1'!$H$2:$H$500&gt;'Week 1'!$J$2:$J$500))+SUMPRODUCT(--('Week 1'!$G$2:$G$500=$C$28),--('Week 1'!$I$2:$I$500=$A32),--('Week 1'!$J$2:$J$500&gt;'Week 1'!$H$2:$H$500)))+(SUMPRODUCT(--('Week 2'!$B$2:$B$500=$A32),--('Week 2'!$D$2:$D$500=$C$28),--('Week 2'!$C$2:$C$500&gt;'Week 2'!$E$2:$E$500))+SUMPRODUCT(--('Week 2'!$B$2:$B$500=$C$28),--('Week 2'!$D$2:$D$500=$A32),--('Week 2'!$E$2:$E$500&gt;'Week 2'!$C$2:$C$500)))+(SUMPRODUCT(--('Week 2'!$G$2:$G$500=$A32),--('Week 2'!$I$2:$I$500=$C$28),--('Week 2'!$H$2:$H$500&gt;'Week 2'!$J$2:$J$500))+SUMPRODUCT(--('Week 2'!$G$2:$G$500=$C$28),--('Week 2'!$I$2:$I$500=$A32),--('Week 2'!$J$2:$J$500&gt;'Week 2'!$H$2:$H$500)))+(SUMPRODUCT(--('Week 3'!$B$2:$B$500=$A32),--('Week 3'!$D$2:$D$500=$C$28),--('Week 3'!$C$2:$C$500&gt;'Week 3'!$E$2:$E$500))+SUMPRODUCT(--('Week 3'!$B$2:$B$500=$C$28),--('Week 3'!$D$2:$D$500=$A32),--('Week 3'!$E$2:$E$500&gt;'Week 3'!$C$2:$C$500)))+(SUMPRODUCT(--('Week 3'!$G$2:$G$500=$A32),--('Week 3'!$I$2:$I$500=$C$28),--('Week 3'!$H$2:$H$500&gt;'Week 3'!$J$2:$J$500))+SUMPRODUCT(--('Week 3'!$G$2:$G$500=$C$28),--('Week 3'!$I$2:$I$500=$A32),--('Week 3'!$J$2:$J$500&gt;'Week 3'!$H$2:$H$500)))+(SUMPRODUCT(--('Week 4'!$B$2:$B$500=$A32),--('Week 4'!$D$2:$D$500=$C$28),--('Week 4'!$C$2:$C$500&gt;'Week 4'!$E$2:$E$500))+SUMPRODUCT(--('Week 4'!$B$2:$B$500=$C$28),--('Week 4'!$D$2:$D$500=$A32),--('Week 4'!$E$2:$E$500&gt;'Week 4'!$C$2:$C$500)))+(SUMPRODUCT(--('Week 4'!$G$2:$G$500=$A32),--('Week 4'!$I$2:$I$500=$C$28),--('Week 4'!$H$2:$H$500&gt;'Week 4'!$J$2:$J$500))+SUMPRODUCT(--('Week 4'!$G$2:$G$500=$C$28),--('Week 4'!$I$2:$I$500=$A32),--('Week 4'!$J$2:$J$500&gt;'Week 4'!$H$2:$H$500)))+(SUMPRODUCT(--('Week 5'!$B$2:$B$500=$A32),--('Week 5'!$D$2:$D$500=$C$28),--('Week 5'!$C$2:$C$500&gt;'Week 5'!$E$2:$E$500))+SUMPRODUCT(--('Week 5'!$B$2:$B$500=$C$28),--('Week 5'!$D$2:$D$500=$A32),--('Week 5'!$E$2:$E$500&gt;'Week 5'!$C$2:$C$500)))+(SUMPRODUCT(--('Week 5'!$G$2:$G$500=$A32),--('Week 5'!$I$2:$I$500=$C$28),--('Week 5'!$H$2:$H$500&gt;'Week 5'!$J$2:$J$500))+SUMPRODUCT(--('Week 5'!$G$2:$G$500=$C$28),--('Week 5'!$I$2:$I$500=$A32),--('Week 5'!$J$2:$J$500&gt;'Week 5'!$H$2:$H$500)))+(SUMPRODUCT(--('Week 6'!$B$2:$B$500=$A32),--('Week 6'!$D$2:$D$500=$C$28),--('Week 6'!$C$2:$C$500&gt;'Week 6'!$E$2:$E$500))+SUMPRODUCT(--('Week 6'!$B$2:$B$500=$C$28),--('Week 6'!$D$2:$D$500=$A32),--('Week 6'!$E$2:$E$500&gt;'Week 6'!$C$2:$C$500)))+(SUMPRODUCT(--('Week 6'!$G$2:$G$500=$A32),--('Week 6'!$I$2:$I$500=$C$28),--('Week 6'!$H$2:$H$500&gt;'Week 6'!$J$2:$J$500))+SUMPRODUCT(--('Week 6'!$G$2:$G$500=$C$28),--('Week 6'!$I$2:$I$500=$A32),--('Week 6'!$J$2:$J$500&gt;'Week 6'!$H$2:$H$500)))</f>
        <v/>
      </c>
      <c r="D32">
        <f>(SUMPRODUCT(--('Week 1'!$B$2:$B$500=$A32),--('Week 1'!$D$2:$D$500=$D$28),--('Week 1'!$C$2:$C$500&gt;'Week 1'!$E$2:$E$500))+SUMPRODUCT(--('Week 1'!$B$2:$B$500=$D$28),--('Week 1'!$D$2:$D$500=$A32),--('Week 1'!$E$2:$E$500&gt;'Week 1'!$C$2:$C$500)))+(SUMPRODUCT(--('Week 1'!$G$2:$G$500=$A32),--('Week 1'!$I$2:$I$500=$D$28),--('Week 1'!$H$2:$H$500&gt;'Week 1'!$J$2:$J$500))+SUMPRODUCT(--('Week 1'!$G$2:$G$500=$D$28),--('Week 1'!$I$2:$I$500=$A32),--('Week 1'!$J$2:$J$500&gt;'Week 1'!$H$2:$H$500)))+(SUMPRODUCT(--('Week 2'!$B$2:$B$500=$A32),--('Week 2'!$D$2:$D$500=$D$28),--('Week 2'!$C$2:$C$500&gt;'Week 2'!$E$2:$E$500))+SUMPRODUCT(--('Week 2'!$B$2:$B$500=$D$28),--('Week 2'!$D$2:$D$500=$A32),--('Week 2'!$E$2:$E$500&gt;'Week 2'!$C$2:$C$500)))+(SUMPRODUCT(--('Week 2'!$G$2:$G$500=$A32),--('Week 2'!$I$2:$I$500=$D$28),--('Week 2'!$H$2:$H$500&gt;'Week 2'!$J$2:$J$500))+SUMPRODUCT(--('Week 2'!$G$2:$G$500=$D$28),--('Week 2'!$I$2:$I$500=$A32),--('Week 2'!$J$2:$J$500&gt;'Week 2'!$H$2:$H$500)))+(SUMPRODUCT(--('Week 3'!$B$2:$B$500=$A32),--('Week 3'!$D$2:$D$500=$D$28),--('Week 3'!$C$2:$C$500&gt;'Week 3'!$E$2:$E$500))+SUMPRODUCT(--('Week 3'!$B$2:$B$500=$D$28),--('Week 3'!$D$2:$D$500=$A32),--('Week 3'!$E$2:$E$500&gt;'Week 3'!$C$2:$C$500)))+(SUMPRODUCT(--('Week 3'!$G$2:$G$500=$A32),--('Week 3'!$I$2:$I$500=$D$28),--('Week 3'!$H$2:$H$500&gt;'Week 3'!$J$2:$J$500))+SUMPRODUCT(--('Week 3'!$G$2:$G$500=$D$28),--('Week 3'!$I$2:$I$500=$A32),--('Week 3'!$J$2:$J$500&gt;'Week 3'!$H$2:$H$500)))+(SUMPRODUCT(--('Week 4'!$B$2:$B$500=$A32),--('Week 4'!$D$2:$D$500=$D$28),--('Week 4'!$C$2:$C$500&gt;'Week 4'!$E$2:$E$500))+SUMPRODUCT(--('Week 4'!$B$2:$B$500=$D$28),--('Week 4'!$D$2:$D$500=$A32),--('Week 4'!$E$2:$E$500&gt;'Week 4'!$C$2:$C$500)))+(SUMPRODUCT(--('Week 4'!$G$2:$G$500=$A32),--('Week 4'!$I$2:$I$500=$D$28),--('Week 4'!$H$2:$H$500&gt;'Week 4'!$J$2:$J$500))+SUMPRODUCT(--('Week 4'!$G$2:$G$500=$D$28),--('Week 4'!$I$2:$I$500=$A32),--('Week 4'!$J$2:$J$500&gt;'Week 4'!$H$2:$H$500)))+(SUMPRODUCT(--('Week 5'!$B$2:$B$500=$A32),--('Week 5'!$D$2:$D$500=$D$28),--('Week 5'!$C$2:$C$500&gt;'Week 5'!$E$2:$E$500))+SUMPRODUCT(--('Week 5'!$B$2:$B$500=$D$28),--('Week 5'!$D$2:$D$500=$A32),--('Week 5'!$E$2:$E$500&gt;'Week 5'!$C$2:$C$500)))+(SUMPRODUCT(--('Week 5'!$G$2:$G$500=$A32),--('Week 5'!$I$2:$I$500=$D$28),--('Week 5'!$H$2:$H$500&gt;'Week 5'!$J$2:$J$500))+SUMPRODUCT(--('Week 5'!$G$2:$G$500=$D$28),--('Week 5'!$I$2:$I$500=$A32),--('Week 5'!$J$2:$J$500&gt;'Week 5'!$H$2:$H$500)))+(SUMPRODUCT(--('Week 6'!$B$2:$B$500=$A32),--('Week 6'!$D$2:$D$500=$D$28),--('Week 6'!$C$2:$C$500&gt;'Week 6'!$E$2:$E$500))+SUMPRODUCT(--('Week 6'!$B$2:$B$500=$D$28),--('Week 6'!$D$2:$D$500=$A32),--('Week 6'!$E$2:$E$500&gt;'Week 6'!$C$2:$C$500)))+(SUMPRODUCT(--('Week 6'!$G$2:$G$500=$A32),--('Week 6'!$I$2:$I$500=$D$28),--('Week 6'!$H$2:$H$500&gt;'Week 6'!$J$2:$J$500))+SUMPRODUCT(--('Week 6'!$G$2:$G$500=$D$28),--('Week 6'!$I$2:$I$500=$A32),--('Week 6'!$J$2:$J$500&gt;'Week 6'!$H$2:$H$500)))</f>
        <v/>
      </c>
      <c r="E32" t="inlineStr">
        <is>
          <t>—</t>
        </is>
      </c>
      <c r="F32">
        <f>(SUMPRODUCT(--('Week 1'!$B$2:$B$500=$A32),--('Week 1'!$D$2:$D$500=$F$28),--('Week 1'!$C$2:$C$500&gt;'Week 1'!$E$2:$E$500))+SUMPRODUCT(--('Week 1'!$B$2:$B$500=$F$28),--('Week 1'!$D$2:$D$500=$A32),--('Week 1'!$E$2:$E$500&gt;'Week 1'!$C$2:$C$500)))+(SUMPRODUCT(--('Week 1'!$G$2:$G$500=$A32),--('Week 1'!$I$2:$I$500=$F$28),--('Week 1'!$H$2:$H$500&gt;'Week 1'!$J$2:$J$500))+SUMPRODUCT(--('Week 1'!$G$2:$G$500=$F$28),--('Week 1'!$I$2:$I$500=$A32),--('Week 1'!$J$2:$J$500&gt;'Week 1'!$H$2:$H$500)))+(SUMPRODUCT(--('Week 2'!$B$2:$B$500=$A32),--('Week 2'!$D$2:$D$500=$F$28),--('Week 2'!$C$2:$C$500&gt;'Week 2'!$E$2:$E$500))+SUMPRODUCT(--('Week 2'!$B$2:$B$500=$F$28),--('Week 2'!$D$2:$D$500=$A32),--('Week 2'!$E$2:$E$500&gt;'Week 2'!$C$2:$C$500)))+(SUMPRODUCT(--('Week 2'!$G$2:$G$500=$A32),--('Week 2'!$I$2:$I$500=$F$28),--('Week 2'!$H$2:$H$500&gt;'Week 2'!$J$2:$J$500))+SUMPRODUCT(--('Week 2'!$G$2:$G$500=$F$28),--('Week 2'!$I$2:$I$500=$A32),--('Week 2'!$J$2:$J$500&gt;'Week 2'!$H$2:$H$500)))+(SUMPRODUCT(--('Week 3'!$B$2:$B$500=$A32),--('Week 3'!$D$2:$D$500=$F$28),--('Week 3'!$C$2:$C$500&gt;'Week 3'!$E$2:$E$500))+SUMPRODUCT(--('Week 3'!$B$2:$B$500=$F$28),--('Week 3'!$D$2:$D$500=$A32),--('Week 3'!$E$2:$E$500&gt;'Week 3'!$C$2:$C$500)))+(SUMPRODUCT(--('Week 3'!$G$2:$G$500=$A32),--('Week 3'!$I$2:$I$500=$F$28),--('Week 3'!$H$2:$H$500&gt;'Week 3'!$J$2:$J$500))+SUMPRODUCT(--('Week 3'!$G$2:$G$500=$F$28),--('Week 3'!$I$2:$I$500=$A32),--('Week 3'!$J$2:$J$500&gt;'Week 3'!$H$2:$H$500)))+(SUMPRODUCT(--('Week 4'!$B$2:$B$500=$A32),--('Week 4'!$D$2:$D$500=$F$28),--('Week 4'!$C$2:$C$500&gt;'Week 4'!$E$2:$E$500))+SUMPRODUCT(--('Week 4'!$B$2:$B$500=$F$28),--('Week 4'!$D$2:$D$500=$A32),--('Week 4'!$E$2:$E$500&gt;'Week 4'!$C$2:$C$500)))+(SUMPRODUCT(--('Week 4'!$G$2:$G$500=$A32),--('Week 4'!$I$2:$I$500=$F$28),--('Week 4'!$H$2:$H$500&gt;'Week 4'!$J$2:$J$500))+SUMPRODUCT(--('Week 4'!$G$2:$G$500=$F$28),--('Week 4'!$I$2:$I$500=$A32),--('Week 4'!$J$2:$J$500&gt;'Week 4'!$H$2:$H$500)))+(SUMPRODUCT(--('Week 5'!$B$2:$B$500=$A32),--('Week 5'!$D$2:$D$500=$F$28),--('Week 5'!$C$2:$C$500&gt;'Week 5'!$E$2:$E$500))+SUMPRODUCT(--('Week 5'!$B$2:$B$500=$F$28),--('Week 5'!$D$2:$D$500=$A32),--('Week 5'!$E$2:$E$500&gt;'Week 5'!$C$2:$C$500)))+(SUMPRODUCT(--('Week 5'!$G$2:$G$500=$A32),--('Week 5'!$I$2:$I$500=$F$28),--('Week 5'!$H$2:$H$500&gt;'Week 5'!$J$2:$J$500))+SUMPRODUCT(--('Week 5'!$G$2:$G$500=$F$28),--('Week 5'!$I$2:$I$500=$A32),--('Week 5'!$J$2:$J$500&gt;'Week 5'!$H$2:$H$500)))+(SUMPRODUCT(--('Week 6'!$B$2:$B$500=$A32),--('Week 6'!$D$2:$D$500=$F$28),--('Week 6'!$C$2:$C$500&gt;'Week 6'!$E$2:$E$500))+SUMPRODUCT(--('Week 6'!$B$2:$B$500=$F$28),--('Week 6'!$D$2:$D$500=$A32),--('Week 6'!$E$2:$E$500&gt;'Week 6'!$C$2:$C$500)))+(SUMPRODUCT(--('Week 6'!$G$2:$G$500=$A32),--('Week 6'!$I$2:$I$500=$F$28),--('Week 6'!$H$2:$H$500&gt;'Week 6'!$J$2:$J$500))+SUMPRODUCT(--('Week 6'!$G$2:$G$500=$F$28),--('Week 6'!$I$2:$I$500=$A32),--('Week 6'!$J$2:$J$500&gt;'Week 6'!$H$2:$H$500)))</f>
        <v/>
      </c>
      <c r="G32">
        <f>(SUMPRODUCT(--('Week 1'!$B$2:$B$500=$A32),--('Week 1'!$D$2:$D$500=$G$28),--('Week 1'!$C$2:$C$500&gt;'Week 1'!$E$2:$E$500))+SUMPRODUCT(--('Week 1'!$B$2:$B$500=$G$28),--('Week 1'!$D$2:$D$500=$A32),--('Week 1'!$E$2:$E$500&gt;'Week 1'!$C$2:$C$500)))+(SUMPRODUCT(--('Week 1'!$G$2:$G$500=$A32),--('Week 1'!$I$2:$I$500=$G$28),--('Week 1'!$H$2:$H$500&gt;'Week 1'!$J$2:$J$500))+SUMPRODUCT(--('Week 1'!$G$2:$G$500=$G$28),--('Week 1'!$I$2:$I$500=$A32),--('Week 1'!$J$2:$J$500&gt;'Week 1'!$H$2:$H$500)))+(SUMPRODUCT(--('Week 2'!$B$2:$B$500=$A32),--('Week 2'!$D$2:$D$500=$G$28),--('Week 2'!$C$2:$C$500&gt;'Week 2'!$E$2:$E$500))+SUMPRODUCT(--('Week 2'!$B$2:$B$500=$G$28),--('Week 2'!$D$2:$D$500=$A32),--('Week 2'!$E$2:$E$500&gt;'Week 2'!$C$2:$C$500)))+(SUMPRODUCT(--('Week 2'!$G$2:$G$500=$A32),--('Week 2'!$I$2:$I$500=$G$28),--('Week 2'!$H$2:$H$500&gt;'Week 2'!$J$2:$J$500))+SUMPRODUCT(--('Week 2'!$G$2:$G$500=$G$28),--('Week 2'!$I$2:$I$500=$A32),--('Week 2'!$J$2:$J$500&gt;'Week 2'!$H$2:$H$500)))+(SUMPRODUCT(--('Week 3'!$B$2:$B$500=$A32),--('Week 3'!$D$2:$D$500=$G$28),--('Week 3'!$C$2:$C$500&gt;'Week 3'!$E$2:$E$500))+SUMPRODUCT(--('Week 3'!$B$2:$B$500=$G$28),--('Week 3'!$D$2:$D$500=$A32),--('Week 3'!$E$2:$E$500&gt;'Week 3'!$C$2:$C$500)))+(SUMPRODUCT(--('Week 3'!$G$2:$G$500=$A32),--('Week 3'!$I$2:$I$500=$G$28),--('Week 3'!$H$2:$H$500&gt;'Week 3'!$J$2:$J$500))+SUMPRODUCT(--('Week 3'!$G$2:$G$500=$G$28),--('Week 3'!$I$2:$I$500=$A32),--('Week 3'!$J$2:$J$500&gt;'Week 3'!$H$2:$H$500)))+(SUMPRODUCT(--('Week 4'!$B$2:$B$500=$A32),--('Week 4'!$D$2:$D$500=$G$28),--('Week 4'!$C$2:$C$500&gt;'Week 4'!$E$2:$E$500))+SUMPRODUCT(--('Week 4'!$B$2:$B$500=$G$28),--('Week 4'!$D$2:$D$500=$A32),--('Week 4'!$E$2:$E$500&gt;'Week 4'!$C$2:$C$500)))+(SUMPRODUCT(--('Week 4'!$G$2:$G$500=$A32),--('Week 4'!$I$2:$I$500=$G$28),--('Week 4'!$H$2:$H$500&gt;'Week 4'!$J$2:$J$500))+SUMPRODUCT(--('Week 4'!$G$2:$G$500=$G$28),--('Week 4'!$I$2:$I$500=$A32),--('Week 4'!$J$2:$J$500&gt;'Week 4'!$H$2:$H$500)))+(SUMPRODUCT(--('Week 5'!$B$2:$B$500=$A32),--('Week 5'!$D$2:$D$500=$G$28),--('Week 5'!$C$2:$C$500&gt;'Week 5'!$E$2:$E$500))+SUMPRODUCT(--('Week 5'!$B$2:$B$500=$G$28),--('Week 5'!$D$2:$D$500=$A32),--('Week 5'!$E$2:$E$500&gt;'Week 5'!$C$2:$C$500)))+(SUMPRODUCT(--('Week 5'!$G$2:$G$500=$A32),--('Week 5'!$I$2:$I$500=$G$28),--('Week 5'!$H$2:$H$500&gt;'Week 5'!$J$2:$J$500))+SUMPRODUCT(--('Week 5'!$G$2:$G$500=$G$28),--('Week 5'!$I$2:$I$500=$A32),--('Week 5'!$J$2:$J$500&gt;'Week 5'!$H$2:$H$500)))+(SUMPRODUCT(--('Week 6'!$B$2:$B$500=$A32),--('Week 6'!$D$2:$D$500=$G$28),--('Week 6'!$C$2:$C$500&gt;'Week 6'!$E$2:$E$500))+SUMPRODUCT(--('Week 6'!$B$2:$B$500=$G$28),--('Week 6'!$D$2:$D$500=$A32),--('Week 6'!$E$2:$E$500&gt;'Week 6'!$C$2:$C$500)))+(SUMPRODUCT(--('Week 6'!$G$2:$G$500=$A32),--('Week 6'!$I$2:$I$500=$G$28),--('Week 6'!$H$2:$H$500&gt;'Week 6'!$J$2:$J$500))+SUMPRODUCT(--('Week 6'!$G$2:$G$500=$G$28),--('Week 6'!$I$2:$I$500=$A32),--('Week 6'!$J$2:$J$500&gt;'Week 6'!$H$2:$H$500)))</f>
        <v/>
      </c>
      <c r="H32">
        <f>(SUMPRODUCT(--('Week 1'!$B$2:$B$500=$A32),--('Week 1'!$D$2:$D$500=$H$28),--('Week 1'!$C$2:$C$500&gt;'Week 1'!$E$2:$E$500))+SUMPRODUCT(--('Week 1'!$B$2:$B$500=$H$28),--('Week 1'!$D$2:$D$500=$A32),--('Week 1'!$E$2:$E$500&gt;'Week 1'!$C$2:$C$500)))+(SUMPRODUCT(--('Week 1'!$G$2:$G$500=$A32),--('Week 1'!$I$2:$I$500=$H$28),--('Week 1'!$H$2:$H$500&gt;'Week 1'!$J$2:$J$500))+SUMPRODUCT(--('Week 1'!$G$2:$G$500=$H$28),--('Week 1'!$I$2:$I$500=$A32),--('Week 1'!$J$2:$J$500&gt;'Week 1'!$H$2:$H$500)))+(SUMPRODUCT(--('Week 2'!$B$2:$B$500=$A32),--('Week 2'!$D$2:$D$500=$H$28),--('Week 2'!$C$2:$C$500&gt;'Week 2'!$E$2:$E$500))+SUMPRODUCT(--('Week 2'!$B$2:$B$500=$H$28),--('Week 2'!$D$2:$D$500=$A32),--('Week 2'!$E$2:$E$500&gt;'Week 2'!$C$2:$C$500)))+(SUMPRODUCT(--('Week 2'!$G$2:$G$500=$A32),--('Week 2'!$I$2:$I$500=$H$28),--('Week 2'!$H$2:$H$500&gt;'Week 2'!$J$2:$J$500))+SUMPRODUCT(--('Week 2'!$G$2:$G$500=$H$28),--('Week 2'!$I$2:$I$500=$A32),--('Week 2'!$J$2:$J$500&gt;'Week 2'!$H$2:$H$500)))+(SUMPRODUCT(--('Week 3'!$B$2:$B$500=$A32),--('Week 3'!$D$2:$D$500=$H$28),--('Week 3'!$C$2:$C$500&gt;'Week 3'!$E$2:$E$500))+SUMPRODUCT(--('Week 3'!$B$2:$B$500=$H$28),--('Week 3'!$D$2:$D$500=$A32),--('Week 3'!$E$2:$E$500&gt;'Week 3'!$C$2:$C$500)))+(SUMPRODUCT(--('Week 3'!$G$2:$G$500=$A32),--('Week 3'!$I$2:$I$500=$H$28),--('Week 3'!$H$2:$H$500&gt;'Week 3'!$J$2:$J$500))+SUMPRODUCT(--('Week 3'!$G$2:$G$500=$H$28),--('Week 3'!$I$2:$I$500=$A32),--('Week 3'!$J$2:$J$500&gt;'Week 3'!$H$2:$H$500)))+(SUMPRODUCT(--('Week 4'!$B$2:$B$500=$A32),--('Week 4'!$D$2:$D$500=$H$28),--('Week 4'!$C$2:$C$500&gt;'Week 4'!$E$2:$E$500))+SUMPRODUCT(--('Week 4'!$B$2:$B$500=$H$28),--('Week 4'!$D$2:$D$500=$A32),--('Week 4'!$E$2:$E$500&gt;'Week 4'!$C$2:$C$500)))+(SUMPRODUCT(--('Week 4'!$G$2:$G$500=$A32),--('Week 4'!$I$2:$I$500=$H$28),--('Week 4'!$H$2:$H$500&gt;'Week 4'!$J$2:$J$500))+SUMPRODUCT(--('Week 4'!$G$2:$G$500=$H$28),--('Week 4'!$I$2:$I$500=$A32),--('Week 4'!$J$2:$J$500&gt;'Week 4'!$H$2:$H$500)))+(SUMPRODUCT(--('Week 5'!$B$2:$B$500=$A32),--('Week 5'!$D$2:$D$500=$H$28),--('Week 5'!$C$2:$C$500&gt;'Week 5'!$E$2:$E$500))+SUMPRODUCT(--('Week 5'!$B$2:$B$500=$H$28),--('Week 5'!$D$2:$D$500=$A32),--('Week 5'!$E$2:$E$500&gt;'Week 5'!$C$2:$C$500)))+(SUMPRODUCT(--('Week 5'!$G$2:$G$500=$A32),--('Week 5'!$I$2:$I$500=$H$28),--('Week 5'!$H$2:$H$500&gt;'Week 5'!$J$2:$J$500))+SUMPRODUCT(--('Week 5'!$G$2:$G$500=$H$28),--('Week 5'!$I$2:$I$500=$A32),--('Week 5'!$J$2:$J$500&gt;'Week 5'!$H$2:$H$500)))+(SUMPRODUCT(--('Week 6'!$B$2:$B$500=$A32),--('Week 6'!$D$2:$D$500=$H$28),--('Week 6'!$C$2:$C$500&gt;'Week 6'!$E$2:$E$500))+SUMPRODUCT(--('Week 6'!$B$2:$B$500=$H$28),--('Week 6'!$D$2:$D$500=$A32),--('Week 6'!$E$2:$E$500&gt;'Week 6'!$C$2:$C$500)))+(SUMPRODUCT(--('Week 6'!$G$2:$G$500=$A32),--('Week 6'!$I$2:$I$500=$H$28),--('Week 6'!$H$2:$H$500&gt;'Week 6'!$J$2:$J$500))+SUMPRODUCT(--('Week 6'!$G$2:$G$500=$H$28),--('Week 6'!$I$2:$I$500=$A32),--('Week 6'!$J$2:$J$500&gt;'Week 6'!$H$2:$H$500)))</f>
        <v/>
      </c>
      <c r="I32">
        <f>(SUMPRODUCT(--('Week 1'!$B$2:$B$500=$A32),--('Week 1'!$D$2:$D$500=$I$28),--('Week 1'!$C$2:$C$500&gt;'Week 1'!$E$2:$E$500))+SUMPRODUCT(--('Week 1'!$B$2:$B$500=$I$28),--('Week 1'!$D$2:$D$500=$A32),--('Week 1'!$E$2:$E$500&gt;'Week 1'!$C$2:$C$500)))+(SUMPRODUCT(--('Week 1'!$G$2:$G$500=$A32),--('Week 1'!$I$2:$I$500=$I$28),--('Week 1'!$H$2:$H$500&gt;'Week 1'!$J$2:$J$500))+SUMPRODUCT(--('Week 1'!$G$2:$G$500=$I$28),--('Week 1'!$I$2:$I$500=$A32),--('Week 1'!$J$2:$J$500&gt;'Week 1'!$H$2:$H$500)))+(SUMPRODUCT(--('Week 2'!$B$2:$B$500=$A32),--('Week 2'!$D$2:$D$500=$I$28),--('Week 2'!$C$2:$C$500&gt;'Week 2'!$E$2:$E$500))+SUMPRODUCT(--('Week 2'!$B$2:$B$500=$I$28),--('Week 2'!$D$2:$D$500=$A32),--('Week 2'!$E$2:$E$500&gt;'Week 2'!$C$2:$C$500)))+(SUMPRODUCT(--('Week 2'!$G$2:$G$500=$A32),--('Week 2'!$I$2:$I$500=$I$28),--('Week 2'!$H$2:$H$500&gt;'Week 2'!$J$2:$J$500))+SUMPRODUCT(--('Week 2'!$G$2:$G$500=$I$28),--('Week 2'!$I$2:$I$500=$A32),--('Week 2'!$J$2:$J$500&gt;'Week 2'!$H$2:$H$500)))+(SUMPRODUCT(--('Week 3'!$B$2:$B$500=$A32),--('Week 3'!$D$2:$D$500=$I$28),--('Week 3'!$C$2:$C$500&gt;'Week 3'!$E$2:$E$500))+SUMPRODUCT(--('Week 3'!$B$2:$B$500=$I$28),--('Week 3'!$D$2:$D$500=$A32),--('Week 3'!$E$2:$E$500&gt;'Week 3'!$C$2:$C$500)))+(SUMPRODUCT(--('Week 3'!$G$2:$G$500=$A32),--('Week 3'!$I$2:$I$500=$I$28),--('Week 3'!$H$2:$H$500&gt;'Week 3'!$J$2:$J$500))+SUMPRODUCT(--('Week 3'!$G$2:$G$500=$I$28),--('Week 3'!$I$2:$I$500=$A32),--('Week 3'!$J$2:$J$500&gt;'Week 3'!$H$2:$H$500)))+(SUMPRODUCT(--('Week 4'!$B$2:$B$500=$A32),--('Week 4'!$D$2:$D$500=$I$28),--('Week 4'!$C$2:$C$500&gt;'Week 4'!$E$2:$E$500))+SUMPRODUCT(--('Week 4'!$B$2:$B$500=$I$28),--('Week 4'!$D$2:$D$500=$A32),--('Week 4'!$E$2:$E$500&gt;'Week 4'!$C$2:$C$500)))+(SUMPRODUCT(--('Week 4'!$G$2:$G$500=$A32),--('Week 4'!$I$2:$I$500=$I$28),--('Week 4'!$H$2:$H$500&gt;'Week 4'!$J$2:$J$500))+SUMPRODUCT(--('Week 4'!$G$2:$G$500=$I$28),--('Week 4'!$I$2:$I$500=$A32),--('Week 4'!$J$2:$J$500&gt;'Week 4'!$H$2:$H$500)))+(SUMPRODUCT(--('Week 5'!$B$2:$B$500=$A32),--('Week 5'!$D$2:$D$500=$I$28),--('Week 5'!$C$2:$C$500&gt;'Week 5'!$E$2:$E$500))+SUMPRODUCT(--('Week 5'!$B$2:$B$500=$I$28),--('Week 5'!$D$2:$D$500=$A32),--('Week 5'!$E$2:$E$500&gt;'Week 5'!$C$2:$C$500)))+(SUMPRODUCT(--('Week 5'!$G$2:$G$500=$A32),--('Week 5'!$I$2:$I$500=$I$28),--('Week 5'!$H$2:$H$500&gt;'Week 5'!$J$2:$J$500))+SUMPRODUCT(--('Week 5'!$G$2:$G$500=$I$28),--('Week 5'!$I$2:$I$500=$A32),--('Week 5'!$J$2:$J$500&gt;'Week 5'!$H$2:$H$500)))+(SUMPRODUCT(--('Week 6'!$B$2:$B$500=$A32),--('Week 6'!$D$2:$D$500=$I$28),--('Week 6'!$C$2:$C$500&gt;'Week 6'!$E$2:$E$500))+SUMPRODUCT(--('Week 6'!$B$2:$B$500=$I$28),--('Week 6'!$D$2:$D$500=$A32),--('Week 6'!$E$2:$E$500&gt;'Week 6'!$C$2:$C$500)))+(SUMPRODUCT(--('Week 6'!$G$2:$G$500=$A32),--('Week 6'!$I$2:$I$500=$I$28),--('Week 6'!$H$2:$H$500&gt;'Week 6'!$J$2:$J$500))+SUMPRODUCT(--('Week 6'!$G$2:$G$500=$I$28),--('Week 6'!$I$2:$I$500=$A32),--('Week 6'!$J$2:$J$500&gt;'Week 6'!$H$2:$H$500)))</f>
        <v/>
      </c>
    </row>
    <row r="33">
      <c r="A33" t="inlineStr">
        <is>
          <t>Team 5</t>
        </is>
      </c>
      <c r="B33">
        <f>(SUMPRODUCT(--('Week 1'!$B$2:$B$500=$A33),--('Week 1'!$D$2:$D$500=$B$28),--('Week 1'!$C$2:$C$500&gt;'Week 1'!$E$2:$E$500))+SUMPRODUCT(--('Week 1'!$B$2:$B$500=$B$28),--('Week 1'!$D$2:$D$500=$A33),--('Week 1'!$E$2:$E$500&gt;'Week 1'!$C$2:$C$500)))+(SUMPRODUCT(--('Week 1'!$G$2:$G$500=$A33),--('Week 1'!$I$2:$I$500=$B$28),--('Week 1'!$H$2:$H$500&gt;'Week 1'!$J$2:$J$500))+SUMPRODUCT(--('Week 1'!$G$2:$G$500=$B$28),--('Week 1'!$I$2:$I$500=$A33),--('Week 1'!$J$2:$J$500&gt;'Week 1'!$H$2:$H$500)))+(SUMPRODUCT(--('Week 2'!$B$2:$B$500=$A33),--('Week 2'!$D$2:$D$500=$B$28),--('Week 2'!$C$2:$C$500&gt;'Week 2'!$E$2:$E$500))+SUMPRODUCT(--('Week 2'!$B$2:$B$500=$B$28),--('Week 2'!$D$2:$D$500=$A33),--('Week 2'!$E$2:$E$500&gt;'Week 2'!$C$2:$C$500)))+(SUMPRODUCT(--('Week 2'!$G$2:$G$500=$A33),--('Week 2'!$I$2:$I$500=$B$28),--('Week 2'!$H$2:$H$500&gt;'Week 2'!$J$2:$J$500))+SUMPRODUCT(--('Week 2'!$G$2:$G$500=$B$28),--('Week 2'!$I$2:$I$500=$A33),--('Week 2'!$J$2:$J$500&gt;'Week 2'!$H$2:$H$500)))+(SUMPRODUCT(--('Week 3'!$B$2:$B$500=$A33),--('Week 3'!$D$2:$D$500=$B$28),--('Week 3'!$C$2:$C$500&gt;'Week 3'!$E$2:$E$500))+SUMPRODUCT(--('Week 3'!$B$2:$B$500=$B$28),--('Week 3'!$D$2:$D$500=$A33),--('Week 3'!$E$2:$E$500&gt;'Week 3'!$C$2:$C$500)))+(SUMPRODUCT(--('Week 3'!$G$2:$G$500=$A33),--('Week 3'!$I$2:$I$500=$B$28),--('Week 3'!$H$2:$H$500&gt;'Week 3'!$J$2:$J$500))+SUMPRODUCT(--('Week 3'!$G$2:$G$500=$B$28),--('Week 3'!$I$2:$I$500=$A33),--('Week 3'!$J$2:$J$500&gt;'Week 3'!$H$2:$H$500)))+(SUMPRODUCT(--('Week 4'!$B$2:$B$500=$A33),--('Week 4'!$D$2:$D$500=$B$28),--('Week 4'!$C$2:$C$500&gt;'Week 4'!$E$2:$E$500))+SUMPRODUCT(--('Week 4'!$B$2:$B$500=$B$28),--('Week 4'!$D$2:$D$500=$A33),--('Week 4'!$E$2:$E$500&gt;'Week 4'!$C$2:$C$500)))+(SUMPRODUCT(--('Week 4'!$G$2:$G$500=$A33),--('Week 4'!$I$2:$I$500=$B$28),--('Week 4'!$H$2:$H$500&gt;'Week 4'!$J$2:$J$500))+SUMPRODUCT(--('Week 4'!$G$2:$G$500=$B$28),--('Week 4'!$I$2:$I$500=$A33),--('Week 4'!$J$2:$J$500&gt;'Week 4'!$H$2:$H$500)))+(SUMPRODUCT(--('Week 5'!$B$2:$B$500=$A33),--('Week 5'!$D$2:$D$500=$B$28),--('Week 5'!$C$2:$C$500&gt;'Week 5'!$E$2:$E$500))+SUMPRODUCT(--('Week 5'!$B$2:$B$500=$B$28),--('Week 5'!$D$2:$D$500=$A33),--('Week 5'!$E$2:$E$500&gt;'Week 5'!$C$2:$C$500)))+(SUMPRODUCT(--('Week 5'!$G$2:$G$500=$A33),--('Week 5'!$I$2:$I$500=$B$28),--('Week 5'!$H$2:$H$500&gt;'Week 5'!$J$2:$J$500))+SUMPRODUCT(--('Week 5'!$G$2:$G$500=$B$28),--('Week 5'!$I$2:$I$500=$A33),--('Week 5'!$J$2:$J$500&gt;'Week 5'!$H$2:$H$500)))+(SUMPRODUCT(--('Week 6'!$B$2:$B$500=$A33),--('Week 6'!$D$2:$D$500=$B$28),--('Week 6'!$C$2:$C$500&gt;'Week 6'!$E$2:$E$500))+SUMPRODUCT(--('Week 6'!$B$2:$B$500=$B$28),--('Week 6'!$D$2:$D$500=$A33),--('Week 6'!$E$2:$E$500&gt;'Week 6'!$C$2:$C$500)))+(SUMPRODUCT(--('Week 6'!$G$2:$G$500=$A33),--('Week 6'!$I$2:$I$500=$B$28),--('Week 6'!$H$2:$H$500&gt;'Week 6'!$J$2:$J$500))+SUMPRODUCT(--('Week 6'!$G$2:$G$500=$B$28),--('Week 6'!$I$2:$I$500=$A33),--('Week 6'!$J$2:$J$500&gt;'Week 6'!$H$2:$H$500)))</f>
        <v/>
      </c>
      <c r="C33">
        <f>(SUMPRODUCT(--('Week 1'!$B$2:$B$500=$A33),--('Week 1'!$D$2:$D$500=$C$28),--('Week 1'!$C$2:$C$500&gt;'Week 1'!$E$2:$E$500))+SUMPRODUCT(--('Week 1'!$B$2:$B$500=$C$28),--('Week 1'!$D$2:$D$500=$A33),--('Week 1'!$E$2:$E$500&gt;'Week 1'!$C$2:$C$500)))+(SUMPRODUCT(--('Week 1'!$G$2:$G$500=$A33),--('Week 1'!$I$2:$I$500=$C$28),--('Week 1'!$H$2:$H$500&gt;'Week 1'!$J$2:$J$500))+SUMPRODUCT(--('Week 1'!$G$2:$G$500=$C$28),--('Week 1'!$I$2:$I$500=$A33),--('Week 1'!$J$2:$J$500&gt;'Week 1'!$H$2:$H$500)))+(SUMPRODUCT(--('Week 2'!$B$2:$B$500=$A33),--('Week 2'!$D$2:$D$500=$C$28),--('Week 2'!$C$2:$C$500&gt;'Week 2'!$E$2:$E$500))+SUMPRODUCT(--('Week 2'!$B$2:$B$500=$C$28),--('Week 2'!$D$2:$D$500=$A33),--('Week 2'!$E$2:$E$500&gt;'Week 2'!$C$2:$C$500)))+(SUMPRODUCT(--('Week 2'!$G$2:$G$500=$A33),--('Week 2'!$I$2:$I$500=$C$28),--('Week 2'!$H$2:$H$500&gt;'Week 2'!$J$2:$J$500))+SUMPRODUCT(--('Week 2'!$G$2:$G$500=$C$28),--('Week 2'!$I$2:$I$500=$A33),--('Week 2'!$J$2:$J$500&gt;'Week 2'!$H$2:$H$500)))+(SUMPRODUCT(--('Week 3'!$B$2:$B$500=$A33),--('Week 3'!$D$2:$D$500=$C$28),--('Week 3'!$C$2:$C$500&gt;'Week 3'!$E$2:$E$500))+SUMPRODUCT(--('Week 3'!$B$2:$B$500=$C$28),--('Week 3'!$D$2:$D$500=$A33),--('Week 3'!$E$2:$E$500&gt;'Week 3'!$C$2:$C$500)))+(SUMPRODUCT(--('Week 3'!$G$2:$G$500=$A33),--('Week 3'!$I$2:$I$500=$C$28),--('Week 3'!$H$2:$H$500&gt;'Week 3'!$J$2:$J$500))+SUMPRODUCT(--('Week 3'!$G$2:$G$500=$C$28),--('Week 3'!$I$2:$I$500=$A33),--('Week 3'!$J$2:$J$500&gt;'Week 3'!$H$2:$H$500)))+(SUMPRODUCT(--('Week 4'!$B$2:$B$500=$A33),--('Week 4'!$D$2:$D$500=$C$28),--('Week 4'!$C$2:$C$500&gt;'Week 4'!$E$2:$E$500))+SUMPRODUCT(--('Week 4'!$B$2:$B$500=$C$28),--('Week 4'!$D$2:$D$500=$A33),--('Week 4'!$E$2:$E$500&gt;'Week 4'!$C$2:$C$500)))+(SUMPRODUCT(--('Week 4'!$G$2:$G$500=$A33),--('Week 4'!$I$2:$I$500=$C$28),--('Week 4'!$H$2:$H$500&gt;'Week 4'!$J$2:$J$500))+SUMPRODUCT(--('Week 4'!$G$2:$G$500=$C$28),--('Week 4'!$I$2:$I$500=$A33),--('Week 4'!$J$2:$J$500&gt;'Week 4'!$H$2:$H$500)))+(SUMPRODUCT(--('Week 5'!$B$2:$B$500=$A33),--('Week 5'!$D$2:$D$500=$C$28),--('Week 5'!$C$2:$C$500&gt;'Week 5'!$E$2:$E$500))+SUMPRODUCT(--('Week 5'!$B$2:$B$500=$C$28),--('Week 5'!$D$2:$D$500=$A33),--('Week 5'!$E$2:$E$500&gt;'Week 5'!$C$2:$C$500)))+(SUMPRODUCT(--('Week 5'!$G$2:$G$500=$A33),--('Week 5'!$I$2:$I$500=$C$28),--('Week 5'!$H$2:$H$500&gt;'Week 5'!$J$2:$J$500))+SUMPRODUCT(--('Week 5'!$G$2:$G$500=$C$28),--('Week 5'!$I$2:$I$500=$A33),--('Week 5'!$J$2:$J$500&gt;'Week 5'!$H$2:$H$500)))+(SUMPRODUCT(--('Week 6'!$B$2:$B$500=$A33),--('Week 6'!$D$2:$D$500=$C$28),--('Week 6'!$C$2:$C$500&gt;'Week 6'!$E$2:$E$500))+SUMPRODUCT(--('Week 6'!$B$2:$B$500=$C$28),--('Week 6'!$D$2:$D$500=$A33),--('Week 6'!$E$2:$E$500&gt;'Week 6'!$C$2:$C$500)))+(SUMPRODUCT(--('Week 6'!$G$2:$G$500=$A33),--('Week 6'!$I$2:$I$500=$C$28),--('Week 6'!$H$2:$H$500&gt;'Week 6'!$J$2:$J$500))+SUMPRODUCT(--('Week 6'!$G$2:$G$500=$C$28),--('Week 6'!$I$2:$I$500=$A33),--('Week 6'!$J$2:$J$500&gt;'Week 6'!$H$2:$H$500)))</f>
        <v/>
      </c>
      <c r="D33">
        <f>(SUMPRODUCT(--('Week 1'!$B$2:$B$500=$A33),--('Week 1'!$D$2:$D$500=$D$28),--('Week 1'!$C$2:$C$500&gt;'Week 1'!$E$2:$E$500))+SUMPRODUCT(--('Week 1'!$B$2:$B$500=$D$28),--('Week 1'!$D$2:$D$500=$A33),--('Week 1'!$E$2:$E$500&gt;'Week 1'!$C$2:$C$500)))+(SUMPRODUCT(--('Week 1'!$G$2:$G$500=$A33),--('Week 1'!$I$2:$I$500=$D$28),--('Week 1'!$H$2:$H$500&gt;'Week 1'!$J$2:$J$500))+SUMPRODUCT(--('Week 1'!$G$2:$G$500=$D$28),--('Week 1'!$I$2:$I$500=$A33),--('Week 1'!$J$2:$J$500&gt;'Week 1'!$H$2:$H$500)))+(SUMPRODUCT(--('Week 2'!$B$2:$B$500=$A33),--('Week 2'!$D$2:$D$500=$D$28),--('Week 2'!$C$2:$C$500&gt;'Week 2'!$E$2:$E$500))+SUMPRODUCT(--('Week 2'!$B$2:$B$500=$D$28),--('Week 2'!$D$2:$D$500=$A33),--('Week 2'!$E$2:$E$500&gt;'Week 2'!$C$2:$C$500)))+(SUMPRODUCT(--('Week 2'!$G$2:$G$500=$A33),--('Week 2'!$I$2:$I$500=$D$28),--('Week 2'!$H$2:$H$500&gt;'Week 2'!$J$2:$J$500))+SUMPRODUCT(--('Week 2'!$G$2:$G$500=$D$28),--('Week 2'!$I$2:$I$500=$A33),--('Week 2'!$J$2:$J$500&gt;'Week 2'!$H$2:$H$500)))+(SUMPRODUCT(--('Week 3'!$B$2:$B$500=$A33),--('Week 3'!$D$2:$D$500=$D$28),--('Week 3'!$C$2:$C$500&gt;'Week 3'!$E$2:$E$500))+SUMPRODUCT(--('Week 3'!$B$2:$B$500=$D$28),--('Week 3'!$D$2:$D$500=$A33),--('Week 3'!$E$2:$E$500&gt;'Week 3'!$C$2:$C$500)))+(SUMPRODUCT(--('Week 3'!$G$2:$G$500=$A33),--('Week 3'!$I$2:$I$500=$D$28),--('Week 3'!$H$2:$H$500&gt;'Week 3'!$J$2:$J$500))+SUMPRODUCT(--('Week 3'!$G$2:$G$500=$D$28),--('Week 3'!$I$2:$I$500=$A33),--('Week 3'!$J$2:$J$500&gt;'Week 3'!$H$2:$H$500)))+(SUMPRODUCT(--('Week 4'!$B$2:$B$500=$A33),--('Week 4'!$D$2:$D$500=$D$28),--('Week 4'!$C$2:$C$500&gt;'Week 4'!$E$2:$E$500))+SUMPRODUCT(--('Week 4'!$B$2:$B$500=$D$28),--('Week 4'!$D$2:$D$500=$A33),--('Week 4'!$E$2:$E$500&gt;'Week 4'!$C$2:$C$500)))+(SUMPRODUCT(--('Week 4'!$G$2:$G$500=$A33),--('Week 4'!$I$2:$I$500=$D$28),--('Week 4'!$H$2:$H$500&gt;'Week 4'!$J$2:$J$500))+SUMPRODUCT(--('Week 4'!$G$2:$G$500=$D$28),--('Week 4'!$I$2:$I$500=$A33),--('Week 4'!$J$2:$J$500&gt;'Week 4'!$H$2:$H$500)))+(SUMPRODUCT(--('Week 5'!$B$2:$B$500=$A33),--('Week 5'!$D$2:$D$500=$D$28),--('Week 5'!$C$2:$C$500&gt;'Week 5'!$E$2:$E$500))+SUMPRODUCT(--('Week 5'!$B$2:$B$500=$D$28),--('Week 5'!$D$2:$D$500=$A33),--('Week 5'!$E$2:$E$500&gt;'Week 5'!$C$2:$C$500)))+(SUMPRODUCT(--('Week 5'!$G$2:$G$500=$A33),--('Week 5'!$I$2:$I$500=$D$28),--('Week 5'!$H$2:$H$500&gt;'Week 5'!$J$2:$J$500))+SUMPRODUCT(--('Week 5'!$G$2:$G$500=$D$28),--('Week 5'!$I$2:$I$500=$A33),--('Week 5'!$J$2:$J$500&gt;'Week 5'!$H$2:$H$500)))+(SUMPRODUCT(--('Week 6'!$B$2:$B$500=$A33),--('Week 6'!$D$2:$D$500=$D$28),--('Week 6'!$C$2:$C$500&gt;'Week 6'!$E$2:$E$500))+SUMPRODUCT(--('Week 6'!$B$2:$B$500=$D$28),--('Week 6'!$D$2:$D$500=$A33),--('Week 6'!$E$2:$E$500&gt;'Week 6'!$C$2:$C$500)))+(SUMPRODUCT(--('Week 6'!$G$2:$G$500=$A33),--('Week 6'!$I$2:$I$500=$D$28),--('Week 6'!$H$2:$H$500&gt;'Week 6'!$J$2:$J$500))+SUMPRODUCT(--('Week 6'!$G$2:$G$500=$D$28),--('Week 6'!$I$2:$I$500=$A33),--('Week 6'!$J$2:$J$500&gt;'Week 6'!$H$2:$H$500)))</f>
        <v/>
      </c>
      <c r="E33">
        <f>(SUMPRODUCT(--('Week 1'!$B$2:$B$500=$A33),--('Week 1'!$D$2:$D$500=$E$28),--('Week 1'!$C$2:$C$500&gt;'Week 1'!$E$2:$E$500))+SUMPRODUCT(--('Week 1'!$B$2:$B$500=$E$28),--('Week 1'!$D$2:$D$500=$A33),--('Week 1'!$E$2:$E$500&gt;'Week 1'!$C$2:$C$500)))+(SUMPRODUCT(--('Week 1'!$G$2:$G$500=$A33),--('Week 1'!$I$2:$I$500=$E$28),--('Week 1'!$H$2:$H$500&gt;'Week 1'!$J$2:$J$500))+SUMPRODUCT(--('Week 1'!$G$2:$G$500=$E$28),--('Week 1'!$I$2:$I$500=$A33),--('Week 1'!$J$2:$J$500&gt;'Week 1'!$H$2:$H$500)))+(SUMPRODUCT(--('Week 2'!$B$2:$B$500=$A33),--('Week 2'!$D$2:$D$500=$E$28),--('Week 2'!$C$2:$C$500&gt;'Week 2'!$E$2:$E$500))+SUMPRODUCT(--('Week 2'!$B$2:$B$500=$E$28),--('Week 2'!$D$2:$D$500=$A33),--('Week 2'!$E$2:$E$500&gt;'Week 2'!$C$2:$C$500)))+(SUMPRODUCT(--('Week 2'!$G$2:$G$500=$A33),--('Week 2'!$I$2:$I$500=$E$28),--('Week 2'!$H$2:$H$500&gt;'Week 2'!$J$2:$J$500))+SUMPRODUCT(--('Week 2'!$G$2:$G$500=$E$28),--('Week 2'!$I$2:$I$500=$A33),--('Week 2'!$J$2:$J$500&gt;'Week 2'!$H$2:$H$500)))+(SUMPRODUCT(--('Week 3'!$B$2:$B$500=$A33),--('Week 3'!$D$2:$D$500=$E$28),--('Week 3'!$C$2:$C$500&gt;'Week 3'!$E$2:$E$500))+SUMPRODUCT(--('Week 3'!$B$2:$B$500=$E$28),--('Week 3'!$D$2:$D$500=$A33),--('Week 3'!$E$2:$E$500&gt;'Week 3'!$C$2:$C$500)))+(SUMPRODUCT(--('Week 3'!$G$2:$G$500=$A33),--('Week 3'!$I$2:$I$500=$E$28),--('Week 3'!$H$2:$H$500&gt;'Week 3'!$J$2:$J$500))+SUMPRODUCT(--('Week 3'!$G$2:$G$500=$E$28),--('Week 3'!$I$2:$I$500=$A33),--('Week 3'!$J$2:$J$500&gt;'Week 3'!$H$2:$H$500)))+(SUMPRODUCT(--('Week 4'!$B$2:$B$500=$A33),--('Week 4'!$D$2:$D$500=$E$28),--('Week 4'!$C$2:$C$500&gt;'Week 4'!$E$2:$E$500))+SUMPRODUCT(--('Week 4'!$B$2:$B$500=$E$28),--('Week 4'!$D$2:$D$500=$A33),--('Week 4'!$E$2:$E$500&gt;'Week 4'!$C$2:$C$500)))+(SUMPRODUCT(--('Week 4'!$G$2:$G$500=$A33),--('Week 4'!$I$2:$I$500=$E$28),--('Week 4'!$H$2:$H$500&gt;'Week 4'!$J$2:$J$500))+SUMPRODUCT(--('Week 4'!$G$2:$G$500=$E$28),--('Week 4'!$I$2:$I$500=$A33),--('Week 4'!$J$2:$J$500&gt;'Week 4'!$H$2:$H$500)))+(SUMPRODUCT(--('Week 5'!$B$2:$B$500=$A33),--('Week 5'!$D$2:$D$500=$E$28),--('Week 5'!$C$2:$C$500&gt;'Week 5'!$E$2:$E$500))+SUMPRODUCT(--('Week 5'!$B$2:$B$500=$E$28),--('Week 5'!$D$2:$D$500=$A33),--('Week 5'!$E$2:$E$500&gt;'Week 5'!$C$2:$C$500)))+(SUMPRODUCT(--('Week 5'!$G$2:$G$500=$A33),--('Week 5'!$I$2:$I$500=$E$28),--('Week 5'!$H$2:$H$500&gt;'Week 5'!$J$2:$J$500))+SUMPRODUCT(--('Week 5'!$G$2:$G$500=$E$28),--('Week 5'!$I$2:$I$500=$A33),--('Week 5'!$J$2:$J$500&gt;'Week 5'!$H$2:$H$500)))+(SUMPRODUCT(--('Week 6'!$B$2:$B$500=$A33),--('Week 6'!$D$2:$D$500=$E$28),--('Week 6'!$C$2:$C$500&gt;'Week 6'!$E$2:$E$500))+SUMPRODUCT(--('Week 6'!$B$2:$B$500=$E$28),--('Week 6'!$D$2:$D$500=$A33),--('Week 6'!$E$2:$E$500&gt;'Week 6'!$C$2:$C$500)))+(SUMPRODUCT(--('Week 6'!$G$2:$G$500=$A33),--('Week 6'!$I$2:$I$500=$E$28),--('Week 6'!$H$2:$H$500&gt;'Week 6'!$J$2:$J$500))+SUMPRODUCT(--('Week 6'!$G$2:$G$500=$E$28),--('Week 6'!$I$2:$I$500=$A33),--('Week 6'!$J$2:$J$500&gt;'Week 6'!$H$2:$H$500)))</f>
        <v/>
      </c>
      <c r="F33" t="inlineStr">
        <is>
          <t>—</t>
        </is>
      </c>
      <c r="G33">
        <f>(SUMPRODUCT(--('Week 1'!$B$2:$B$500=$A33),--('Week 1'!$D$2:$D$500=$G$28),--('Week 1'!$C$2:$C$500&gt;'Week 1'!$E$2:$E$500))+SUMPRODUCT(--('Week 1'!$B$2:$B$500=$G$28),--('Week 1'!$D$2:$D$500=$A33),--('Week 1'!$E$2:$E$500&gt;'Week 1'!$C$2:$C$500)))+(SUMPRODUCT(--('Week 1'!$G$2:$G$500=$A33),--('Week 1'!$I$2:$I$500=$G$28),--('Week 1'!$H$2:$H$500&gt;'Week 1'!$J$2:$J$500))+SUMPRODUCT(--('Week 1'!$G$2:$G$500=$G$28),--('Week 1'!$I$2:$I$500=$A33),--('Week 1'!$J$2:$J$500&gt;'Week 1'!$H$2:$H$500)))+(SUMPRODUCT(--('Week 2'!$B$2:$B$500=$A33),--('Week 2'!$D$2:$D$500=$G$28),--('Week 2'!$C$2:$C$500&gt;'Week 2'!$E$2:$E$500))+SUMPRODUCT(--('Week 2'!$B$2:$B$500=$G$28),--('Week 2'!$D$2:$D$500=$A33),--('Week 2'!$E$2:$E$500&gt;'Week 2'!$C$2:$C$500)))+(SUMPRODUCT(--('Week 2'!$G$2:$G$500=$A33),--('Week 2'!$I$2:$I$500=$G$28),--('Week 2'!$H$2:$H$500&gt;'Week 2'!$J$2:$J$500))+SUMPRODUCT(--('Week 2'!$G$2:$G$500=$G$28),--('Week 2'!$I$2:$I$500=$A33),--('Week 2'!$J$2:$J$500&gt;'Week 2'!$H$2:$H$500)))+(SUMPRODUCT(--('Week 3'!$B$2:$B$500=$A33),--('Week 3'!$D$2:$D$500=$G$28),--('Week 3'!$C$2:$C$500&gt;'Week 3'!$E$2:$E$500))+SUMPRODUCT(--('Week 3'!$B$2:$B$500=$G$28),--('Week 3'!$D$2:$D$500=$A33),--('Week 3'!$E$2:$E$500&gt;'Week 3'!$C$2:$C$500)))+(SUMPRODUCT(--('Week 3'!$G$2:$G$500=$A33),--('Week 3'!$I$2:$I$500=$G$28),--('Week 3'!$H$2:$H$500&gt;'Week 3'!$J$2:$J$500))+SUMPRODUCT(--('Week 3'!$G$2:$G$500=$G$28),--('Week 3'!$I$2:$I$500=$A33),--('Week 3'!$J$2:$J$500&gt;'Week 3'!$H$2:$H$500)))+(SUMPRODUCT(--('Week 4'!$B$2:$B$500=$A33),--('Week 4'!$D$2:$D$500=$G$28),--('Week 4'!$C$2:$C$500&gt;'Week 4'!$E$2:$E$500))+SUMPRODUCT(--('Week 4'!$B$2:$B$500=$G$28),--('Week 4'!$D$2:$D$500=$A33),--('Week 4'!$E$2:$E$500&gt;'Week 4'!$C$2:$C$500)))+(SUMPRODUCT(--('Week 4'!$G$2:$G$500=$A33),--('Week 4'!$I$2:$I$500=$G$28),--('Week 4'!$H$2:$H$500&gt;'Week 4'!$J$2:$J$500))+SUMPRODUCT(--('Week 4'!$G$2:$G$500=$G$28),--('Week 4'!$I$2:$I$500=$A33),--('Week 4'!$J$2:$J$500&gt;'Week 4'!$H$2:$H$500)))+(SUMPRODUCT(--('Week 5'!$B$2:$B$500=$A33),--('Week 5'!$D$2:$D$500=$G$28),--('Week 5'!$C$2:$C$500&gt;'Week 5'!$E$2:$E$500))+SUMPRODUCT(--('Week 5'!$B$2:$B$500=$G$28),--('Week 5'!$D$2:$D$500=$A33),--('Week 5'!$E$2:$E$500&gt;'Week 5'!$C$2:$C$500)))+(SUMPRODUCT(--('Week 5'!$G$2:$G$500=$A33),--('Week 5'!$I$2:$I$500=$G$28),--('Week 5'!$H$2:$H$500&gt;'Week 5'!$J$2:$J$500))+SUMPRODUCT(--('Week 5'!$G$2:$G$500=$G$28),--('Week 5'!$I$2:$I$500=$A33),--('Week 5'!$J$2:$J$500&gt;'Week 5'!$H$2:$H$500)))+(SUMPRODUCT(--('Week 6'!$B$2:$B$500=$A33),--('Week 6'!$D$2:$D$500=$G$28),--('Week 6'!$C$2:$C$500&gt;'Week 6'!$E$2:$E$500))+SUMPRODUCT(--('Week 6'!$B$2:$B$500=$G$28),--('Week 6'!$D$2:$D$500=$A33),--('Week 6'!$E$2:$E$500&gt;'Week 6'!$C$2:$C$500)))+(SUMPRODUCT(--('Week 6'!$G$2:$G$500=$A33),--('Week 6'!$I$2:$I$500=$G$28),--('Week 6'!$H$2:$H$500&gt;'Week 6'!$J$2:$J$500))+SUMPRODUCT(--('Week 6'!$G$2:$G$500=$G$28),--('Week 6'!$I$2:$I$500=$A33),--('Week 6'!$J$2:$J$500&gt;'Week 6'!$H$2:$H$500)))</f>
        <v/>
      </c>
      <c r="H33">
        <f>(SUMPRODUCT(--('Week 1'!$B$2:$B$500=$A33),--('Week 1'!$D$2:$D$500=$H$28),--('Week 1'!$C$2:$C$500&gt;'Week 1'!$E$2:$E$500))+SUMPRODUCT(--('Week 1'!$B$2:$B$500=$H$28),--('Week 1'!$D$2:$D$500=$A33),--('Week 1'!$E$2:$E$500&gt;'Week 1'!$C$2:$C$500)))+(SUMPRODUCT(--('Week 1'!$G$2:$G$500=$A33),--('Week 1'!$I$2:$I$500=$H$28),--('Week 1'!$H$2:$H$500&gt;'Week 1'!$J$2:$J$500))+SUMPRODUCT(--('Week 1'!$G$2:$G$500=$H$28),--('Week 1'!$I$2:$I$500=$A33),--('Week 1'!$J$2:$J$500&gt;'Week 1'!$H$2:$H$500)))+(SUMPRODUCT(--('Week 2'!$B$2:$B$500=$A33),--('Week 2'!$D$2:$D$500=$H$28),--('Week 2'!$C$2:$C$500&gt;'Week 2'!$E$2:$E$500))+SUMPRODUCT(--('Week 2'!$B$2:$B$500=$H$28),--('Week 2'!$D$2:$D$500=$A33),--('Week 2'!$E$2:$E$500&gt;'Week 2'!$C$2:$C$500)))+(SUMPRODUCT(--('Week 2'!$G$2:$G$500=$A33),--('Week 2'!$I$2:$I$500=$H$28),--('Week 2'!$H$2:$H$500&gt;'Week 2'!$J$2:$J$500))+SUMPRODUCT(--('Week 2'!$G$2:$G$500=$H$28),--('Week 2'!$I$2:$I$500=$A33),--('Week 2'!$J$2:$J$500&gt;'Week 2'!$H$2:$H$500)))+(SUMPRODUCT(--('Week 3'!$B$2:$B$500=$A33),--('Week 3'!$D$2:$D$500=$H$28),--('Week 3'!$C$2:$C$500&gt;'Week 3'!$E$2:$E$500))+SUMPRODUCT(--('Week 3'!$B$2:$B$500=$H$28),--('Week 3'!$D$2:$D$500=$A33),--('Week 3'!$E$2:$E$500&gt;'Week 3'!$C$2:$C$500)))+(SUMPRODUCT(--('Week 3'!$G$2:$G$500=$A33),--('Week 3'!$I$2:$I$500=$H$28),--('Week 3'!$H$2:$H$500&gt;'Week 3'!$J$2:$J$500))+SUMPRODUCT(--('Week 3'!$G$2:$G$500=$H$28),--('Week 3'!$I$2:$I$500=$A33),--('Week 3'!$J$2:$J$500&gt;'Week 3'!$H$2:$H$500)))+(SUMPRODUCT(--('Week 4'!$B$2:$B$500=$A33),--('Week 4'!$D$2:$D$500=$H$28),--('Week 4'!$C$2:$C$500&gt;'Week 4'!$E$2:$E$500))+SUMPRODUCT(--('Week 4'!$B$2:$B$500=$H$28),--('Week 4'!$D$2:$D$500=$A33),--('Week 4'!$E$2:$E$500&gt;'Week 4'!$C$2:$C$500)))+(SUMPRODUCT(--('Week 4'!$G$2:$G$500=$A33),--('Week 4'!$I$2:$I$500=$H$28),--('Week 4'!$H$2:$H$500&gt;'Week 4'!$J$2:$J$500))+SUMPRODUCT(--('Week 4'!$G$2:$G$500=$H$28),--('Week 4'!$I$2:$I$500=$A33),--('Week 4'!$J$2:$J$500&gt;'Week 4'!$H$2:$H$500)))+(SUMPRODUCT(--('Week 5'!$B$2:$B$500=$A33),--('Week 5'!$D$2:$D$500=$H$28),--('Week 5'!$C$2:$C$500&gt;'Week 5'!$E$2:$E$500))+SUMPRODUCT(--('Week 5'!$B$2:$B$500=$H$28),--('Week 5'!$D$2:$D$500=$A33),--('Week 5'!$E$2:$E$500&gt;'Week 5'!$C$2:$C$500)))+(SUMPRODUCT(--('Week 5'!$G$2:$G$500=$A33),--('Week 5'!$I$2:$I$500=$H$28),--('Week 5'!$H$2:$H$500&gt;'Week 5'!$J$2:$J$500))+SUMPRODUCT(--('Week 5'!$G$2:$G$500=$H$28),--('Week 5'!$I$2:$I$500=$A33),--('Week 5'!$J$2:$J$500&gt;'Week 5'!$H$2:$H$500)))+(SUMPRODUCT(--('Week 6'!$B$2:$B$500=$A33),--('Week 6'!$D$2:$D$500=$H$28),--('Week 6'!$C$2:$C$500&gt;'Week 6'!$E$2:$E$500))+SUMPRODUCT(--('Week 6'!$B$2:$B$500=$H$28),--('Week 6'!$D$2:$D$500=$A33),--('Week 6'!$E$2:$E$500&gt;'Week 6'!$C$2:$C$500)))+(SUMPRODUCT(--('Week 6'!$G$2:$G$500=$A33),--('Week 6'!$I$2:$I$500=$H$28),--('Week 6'!$H$2:$H$500&gt;'Week 6'!$J$2:$J$500))+SUMPRODUCT(--('Week 6'!$G$2:$G$500=$H$28),--('Week 6'!$I$2:$I$500=$A33),--('Week 6'!$J$2:$J$500&gt;'Week 6'!$H$2:$H$500)))</f>
        <v/>
      </c>
      <c r="I33">
        <f>(SUMPRODUCT(--('Week 1'!$B$2:$B$500=$A33),--('Week 1'!$D$2:$D$500=$I$28),--('Week 1'!$C$2:$C$500&gt;'Week 1'!$E$2:$E$500))+SUMPRODUCT(--('Week 1'!$B$2:$B$500=$I$28),--('Week 1'!$D$2:$D$500=$A33),--('Week 1'!$E$2:$E$500&gt;'Week 1'!$C$2:$C$500)))+(SUMPRODUCT(--('Week 1'!$G$2:$G$500=$A33),--('Week 1'!$I$2:$I$500=$I$28),--('Week 1'!$H$2:$H$500&gt;'Week 1'!$J$2:$J$500))+SUMPRODUCT(--('Week 1'!$G$2:$G$500=$I$28),--('Week 1'!$I$2:$I$500=$A33),--('Week 1'!$J$2:$J$500&gt;'Week 1'!$H$2:$H$500)))+(SUMPRODUCT(--('Week 2'!$B$2:$B$500=$A33),--('Week 2'!$D$2:$D$500=$I$28),--('Week 2'!$C$2:$C$500&gt;'Week 2'!$E$2:$E$500))+SUMPRODUCT(--('Week 2'!$B$2:$B$500=$I$28),--('Week 2'!$D$2:$D$500=$A33),--('Week 2'!$E$2:$E$500&gt;'Week 2'!$C$2:$C$500)))+(SUMPRODUCT(--('Week 2'!$G$2:$G$500=$A33),--('Week 2'!$I$2:$I$500=$I$28),--('Week 2'!$H$2:$H$500&gt;'Week 2'!$J$2:$J$500))+SUMPRODUCT(--('Week 2'!$G$2:$G$500=$I$28),--('Week 2'!$I$2:$I$500=$A33),--('Week 2'!$J$2:$J$500&gt;'Week 2'!$H$2:$H$500)))+(SUMPRODUCT(--('Week 3'!$B$2:$B$500=$A33),--('Week 3'!$D$2:$D$500=$I$28),--('Week 3'!$C$2:$C$500&gt;'Week 3'!$E$2:$E$500))+SUMPRODUCT(--('Week 3'!$B$2:$B$500=$I$28),--('Week 3'!$D$2:$D$500=$A33),--('Week 3'!$E$2:$E$500&gt;'Week 3'!$C$2:$C$500)))+(SUMPRODUCT(--('Week 3'!$G$2:$G$500=$A33),--('Week 3'!$I$2:$I$500=$I$28),--('Week 3'!$H$2:$H$500&gt;'Week 3'!$J$2:$J$500))+SUMPRODUCT(--('Week 3'!$G$2:$G$500=$I$28),--('Week 3'!$I$2:$I$500=$A33),--('Week 3'!$J$2:$J$500&gt;'Week 3'!$H$2:$H$500)))+(SUMPRODUCT(--('Week 4'!$B$2:$B$500=$A33),--('Week 4'!$D$2:$D$500=$I$28),--('Week 4'!$C$2:$C$500&gt;'Week 4'!$E$2:$E$500))+SUMPRODUCT(--('Week 4'!$B$2:$B$500=$I$28),--('Week 4'!$D$2:$D$500=$A33),--('Week 4'!$E$2:$E$500&gt;'Week 4'!$C$2:$C$500)))+(SUMPRODUCT(--('Week 4'!$G$2:$G$500=$A33),--('Week 4'!$I$2:$I$500=$I$28),--('Week 4'!$H$2:$H$500&gt;'Week 4'!$J$2:$J$500))+SUMPRODUCT(--('Week 4'!$G$2:$G$500=$I$28),--('Week 4'!$I$2:$I$500=$A33),--('Week 4'!$J$2:$J$500&gt;'Week 4'!$H$2:$H$500)))+(SUMPRODUCT(--('Week 5'!$B$2:$B$500=$A33),--('Week 5'!$D$2:$D$500=$I$28),--('Week 5'!$C$2:$C$500&gt;'Week 5'!$E$2:$E$500))+SUMPRODUCT(--('Week 5'!$B$2:$B$500=$I$28),--('Week 5'!$D$2:$D$500=$A33),--('Week 5'!$E$2:$E$500&gt;'Week 5'!$C$2:$C$500)))+(SUMPRODUCT(--('Week 5'!$G$2:$G$500=$A33),--('Week 5'!$I$2:$I$500=$I$28),--('Week 5'!$H$2:$H$500&gt;'Week 5'!$J$2:$J$500))+SUMPRODUCT(--('Week 5'!$G$2:$G$500=$I$28),--('Week 5'!$I$2:$I$500=$A33),--('Week 5'!$J$2:$J$500&gt;'Week 5'!$H$2:$H$500)))+(SUMPRODUCT(--('Week 6'!$B$2:$B$500=$A33),--('Week 6'!$D$2:$D$500=$I$28),--('Week 6'!$C$2:$C$500&gt;'Week 6'!$E$2:$E$500))+SUMPRODUCT(--('Week 6'!$B$2:$B$500=$I$28),--('Week 6'!$D$2:$D$500=$A33),--('Week 6'!$E$2:$E$500&gt;'Week 6'!$C$2:$C$500)))+(SUMPRODUCT(--('Week 6'!$G$2:$G$500=$A33),--('Week 6'!$I$2:$I$500=$I$28),--('Week 6'!$H$2:$H$500&gt;'Week 6'!$J$2:$J$500))+SUMPRODUCT(--('Week 6'!$G$2:$G$500=$I$28),--('Week 6'!$I$2:$I$500=$A33),--('Week 6'!$J$2:$J$500&gt;'Week 6'!$H$2:$H$500)))</f>
        <v/>
      </c>
    </row>
    <row r="34">
      <c r="A34" t="inlineStr">
        <is>
          <t>Team 6</t>
        </is>
      </c>
      <c r="B34">
        <f>(SUMPRODUCT(--('Week 1'!$B$2:$B$500=$A34),--('Week 1'!$D$2:$D$500=$B$28),--('Week 1'!$C$2:$C$500&gt;'Week 1'!$E$2:$E$500))+SUMPRODUCT(--('Week 1'!$B$2:$B$500=$B$28),--('Week 1'!$D$2:$D$500=$A34),--('Week 1'!$E$2:$E$500&gt;'Week 1'!$C$2:$C$500)))+(SUMPRODUCT(--('Week 1'!$G$2:$G$500=$A34),--('Week 1'!$I$2:$I$500=$B$28),--('Week 1'!$H$2:$H$500&gt;'Week 1'!$J$2:$J$500))+SUMPRODUCT(--('Week 1'!$G$2:$G$500=$B$28),--('Week 1'!$I$2:$I$500=$A34),--('Week 1'!$J$2:$J$500&gt;'Week 1'!$H$2:$H$500)))+(SUMPRODUCT(--('Week 2'!$B$2:$B$500=$A34),--('Week 2'!$D$2:$D$500=$B$28),--('Week 2'!$C$2:$C$500&gt;'Week 2'!$E$2:$E$500))+SUMPRODUCT(--('Week 2'!$B$2:$B$500=$B$28),--('Week 2'!$D$2:$D$500=$A34),--('Week 2'!$E$2:$E$500&gt;'Week 2'!$C$2:$C$500)))+(SUMPRODUCT(--('Week 2'!$G$2:$G$500=$A34),--('Week 2'!$I$2:$I$500=$B$28),--('Week 2'!$H$2:$H$500&gt;'Week 2'!$J$2:$J$500))+SUMPRODUCT(--('Week 2'!$G$2:$G$500=$B$28),--('Week 2'!$I$2:$I$500=$A34),--('Week 2'!$J$2:$J$500&gt;'Week 2'!$H$2:$H$500)))+(SUMPRODUCT(--('Week 3'!$B$2:$B$500=$A34),--('Week 3'!$D$2:$D$500=$B$28),--('Week 3'!$C$2:$C$500&gt;'Week 3'!$E$2:$E$500))+SUMPRODUCT(--('Week 3'!$B$2:$B$500=$B$28),--('Week 3'!$D$2:$D$500=$A34),--('Week 3'!$E$2:$E$500&gt;'Week 3'!$C$2:$C$500)))+(SUMPRODUCT(--('Week 3'!$G$2:$G$500=$A34),--('Week 3'!$I$2:$I$500=$B$28),--('Week 3'!$H$2:$H$500&gt;'Week 3'!$J$2:$J$500))+SUMPRODUCT(--('Week 3'!$G$2:$G$500=$B$28),--('Week 3'!$I$2:$I$500=$A34),--('Week 3'!$J$2:$J$500&gt;'Week 3'!$H$2:$H$500)))+(SUMPRODUCT(--('Week 4'!$B$2:$B$500=$A34),--('Week 4'!$D$2:$D$500=$B$28),--('Week 4'!$C$2:$C$500&gt;'Week 4'!$E$2:$E$500))+SUMPRODUCT(--('Week 4'!$B$2:$B$500=$B$28),--('Week 4'!$D$2:$D$500=$A34),--('Week 4'!$E$2:$E$500&gt;'Week 4'!$C$2:$C$500)))+(SUMPRODUCT(--('Week 4'!$G$2:$G$500=$A34),--('Week 4'!$I$2:$I$500=$B$28),--('Week 4'!$H$2:$H$500&gt;'Week 4'!$J$2:$J$500))+SUMPRODUCT(--('Week 4'!$G$2:$G$500=$B$28),--('Week 4'!$I$2:$I$500=$A34),--('Week 4'!$J$2:$J$500&gt;'Week 4'!$H$2:$H$500)))+(SUMPRODUCT(--('Week 5'!$B$2:$B$500=$A34),--('Week 5'!$D$2:$D$500=$B$28),--('Week 5'!$C$2:$C$500&gt;'Week 5'!$E$2:$E$500))+SUMPRODUCT(--('Week 5'!$B$2:$B$500=$B$28),--('Week 5'!$D$2:$D$500=$A34),--('Week 5'!$E$2:$E$500&gt;'Week 5'!$C$2:$C$500)))+(SUMPRODUCT(--('Week 5'!$G$2:$G$500=$A34),--('Week 5'!$I$2:$I$500=$B$28),--('Week 5'!$H$2:$H$500&gt;'Week 5'!$J$2:$J$500))+SUMPRODUCT(--('Week 5'!$G$2:$G$500=$B$28),--('Week 5'!$I$2:$I$500=$A34),--('Week 5'!$J$2:$J$500&gt;'Week 5'!$H$2:$H$500)))+(SUMPRODUCT(--('Week 6'!$B$2:$B$500=$A34),--('Week 6'!$D$2:$D$500=$B$28),--('Week 6'!$C$2:$C$500&gt;'Week 6'!$E$2:$E$500))+SUMPRODUCT(--('Week 6'!$B$2:$B$500=$B$28),--('Week 6'!$D$2:$D$500=$A34),--('Week 6'!$E$2:$E$500&gt;'Week 6'!$C$2:$C$500)))+(SUMPRODUCT(--('Week 6'!$G$2:$G$500=$A34),--('Week 6'!$I$2:$I$500=$B$28),--('Week 6'!$H$2:$H$500&gt;'Week 6'!$J$2:$J$500))+SUMPRODUCT(--('Week 6'!$G$2:$G$500=$B$28),--('Week 6'!$I$2:$I$500=$A34),--('Week 6'!$J$2:$J$500&gt;'Week 6'!$H$2:$H$500)))</f>
        <v/>
      </c>
      <c r="C34">
        <f>(SUMPRODUCT(--('Week 1'!$B$2:$B$500=$A34),--('Week 1'!$D$2:$D$500=$C$28),--('Week 1'!$C$2:$C$500&gt;'Week 1'!$E$2:$E$500))+SUMPRODUCT(--('Week 1'!$B$2:$B$500=$C$28),--('Week 1'!$D$2:$D$500=$A34),--('Week 1'!$E$2:$E$500&gt;'Week 1'!$C$2:$C$500)))+(SUMPRODUCT(--('Week 1'!$G$2:$G$500=$A34),--('Week 1'!$I$2:$I$500=$C$28),--('Week 1'!$H$2:$H$500&gt;'Week 1'!$J$2:$J$500))+SUMPRODUCT(--('Week 1'!$G$2:$G$500=$C$28),--('Week 1'!$I$2:$I$500=$A34),--('Week 1'!$J$2:$J$500&gt;'Week 1'!$H$2:$H$500)))+(SUMPRODUCT(--('Week 2'!$B$2:$B$500=$A34),--('Week 2'!$D$2:$D$500=$C$28),--('Week 2'!$C$2:$C$500&gt;'Week 2'!$E$2:$E$500))+SUMPRODUCT(--('Week 2'!$B$2:$B$500=$C$28),--('Week 2'!$D$2:$D$500=$A34),--('Week 2'!$E$2:$E$500&gt;'Week 2'!$C$2:$C$500)))+(SUMPRODUCT(--('Week 2'!$G$2:$G$500=$A34),--('Week 2'!$I$2:$I$500=$C$28),--('Week 2'!$H$2:$H$500&gt;'Week 2'!$J$2:$J$500))+SUMPRODUCT(--('Week 2'!$G$2:$G$500=$C$28),--('Week 2'!$I$2:$I$500=$A34),--('Week 2'!$J$2:$J$500&gt;'Week 2'!$H$2:$H$500)))+(SUMPRODUCT(--('Week 3'!$B$2:$B$500=$A34),--('Week 3'!$D$2:$D$500=$C$28),--('Week 3'!$C$2:$C$500&gt;'Week 3'!$E$2:$E$500))+SUMPRODUCT(--('Week 3'!$B$2:$B$500=$C$28),--('Week 3'!$D$2:$D$500=$A34),--('Week 3'!$E$2:$E$500&gt;'Week 3'!$C$2:$C$500)))+(SUMPRODUCT(--('Week 3'!$G$2:$G$500=$A34),--('Week 3'!$I$2:$I$500=$C$28),--('Week 3'!$H$2:$H$500&gt;'Week 3'!$J$2:$J$500))+SUMPRODUCT(--('Week 3'!$G$2:$G$500=$C$28),--('Week 3'!$I$2:$I$500=$A34),--('Week 3'!$J$2:$J$500&gt;'Week 3'!$H$2:$H$500)))+(SUMPRODUCT(--('Week 4'!$B$2:$B$500=$A34),--('Week 4'!$D$2:$D$500=$C$28),--('Week 4'!$C$2:$C$500&gt;'Week 4'!$E$2:$E$500))+SUMPRODUCT(--('Week 4'!$B$2:$B$500=$C$28),--('Week 4'!$D$2:$D$500=$A34),--('Week 4'!$E$2:$E$500&gt;'Week 4'!$C$2:$C$500)))+(SUMPRODUCT(--('Week 4'!$G$2:$G$500=$A34),--('Week 4'!$I$2:$I$500=$C$28),--('Week 4'!$H$2:$H$500&gt;'Week 4'!$J$2:$J$500))+SUMPRODUCT(--('Week 4'!$G$2:$G$500=$C$28),--('Week 4'!$I$2:$I$500=$A34),--('Week 4'!$J$2:$J$500&gt;'Week 4'!$H$2:$H$500)))+(SUMPRODUCT(--('Week 5'!$B$2:$B$500=$A34),--('Week 5'!$D$2:$D$500=$C$28),--('Week 5'!$C$2:$C$500&gt;'Week 5'!$E$2:$E$500))+SUMPRODUCT(--('Week 5'!$B$2:$B$500=$C$28),--('Week 5'!$D$2:$D$500=$A34),--('Week 5'!$E$2:$E$500&gt;'Week 5'!$C$2:$C$500)))+(SUMPRODUCT(--('Week 5'!$G$2:$G$500=$A34),--('Week 5'!$I$2:$I$500=$C$28),--('Week 5'!$H$2:$H$500&gt;'Week 5'!$J$2:$J$500))+SUMPRODUCT(--('Week 5'!$G$2:$G$500=$C$28),--('Week 5'!$I$2:$I$500=$A34),--('Week 5'!$J$2:$J$500&gt;'Week 5'!$H$2:$H$500)))+(SUMPRODUCT(--('Week 6'!$B$2:$B$500=$A34),--('Week 6'!$D$2:$D$500=$C$28),--('Week 6'!$C$2:$C$500&gt;'Week 6'!$E$2:$E$500))+SUMPRODUCT(--('Week 6'!$B$2:$B$500=$C$28),--('Week 6'!$D$2:$D$500=$A34),--('Week 6'!$E$2:$E$500&gt;'Week 6'!$C$2:$C$500)))+(SUMPRODUCT(--('Week 6'!$G$2:$G$500=$A34),--('Week 6'!$I$2:$I$500=$C$28),--('Week 6'!$H$2:$H$500&gt;'Week 6'!$J$2:$J$500))+SUMPRODUCT(--('Week 6'!$G$2:$G$500=$C$28),--('Week 6'!$I$2:$I$500=$A34),--('Week 6'!$J$2:$J$500&gt;'Week 6'!$H$2:$H$500)))</f>
        <v/>
      </c>
      <c r="D34">
        <f>(SUMPRODUCT(--('Week 1'!$B$2:$B$500=$A34),--('Week 1'!$D$2:$D$500=$D$28),--('Week 1'!$C$2:$C$500&gt;'Week 1'!$E$2:$E$500))+SUMPRODUCT(--('Week 1'!$B$2:$B$500=$D$28),--('Week 1'!$D$2:$D$500=$A34),--('Week 1'!$E$2:$E$500&gt;'Week 1'!$C$2:$C$500)))+(SUMPRODUCT(--('Week 1'!$G$2:$G$500=$A34),--('Week 1'!$I$2:$I$500=$D$28),--('Week 1'!$H$2:$H$500&gt;'Week 1'!$J$2:$J$500))+SUMPRODUCT(--('Week 1'!$G$2:$G$500=$D$28),--('Week 1'!$I$2:$I$500=$A34),--('Week 1'!$J$2:$J$500&gt;'Week 1'!$H$2:$H$500)))+(SUMPRODUCT(--('Week 2'!$B$2:$B$500=$A34),--('Week 2'!$D$2:$D$500=$D$28),--('Week 2'!$C$2:$C$500&gt;'Week 2'!$E$2:$E$500))+SUMPRODUCT(--('Week 2'!$B$2:$B$500=$D$28),--('Week 2'!$D$2:$D$500=$A34),--('Week 2'!$E$2:$E$500&gt;'Week 2'!$C$2:$C$500)))+(SUMPRODUCT(--('Week 2'!$G$2:$G$500=$A34),--('Week 2'!$I$2:$I$500=$D$28),--('Week 2'!$H$2:$H$500&gt;'Week 2'!$J$2:$J$500))+SUMPRODUCT(--('Week 2'!$G$2:$G$500=$D$28),--('Week 2'!$I$2:$I$500=$A34),--('Week 2'!$J$2:$J$500&gt;'Week 2'!$H$2:$H$500)))+(SUMPRODUCT(--('Week 3'!$B$2:$B$500=$A34),--('Week 3'!$D$2:$D$500=$D$28),--('Week 3'!$C$2:$C$500&gt;'Week 3'!$E$2:$E$500))+SUMPRODUCT(--('Week 3'!$B$2:$B$500=$D$28),--('Week 3'!$D$2:$D$500=$A34),--('Week 3'!$E$2:$E$500&gt;'Week 3'!$C$2:$C$500)))+(SUMPRODUCT(--('Week 3'!$G$2:$G$500=$A34),--('Week 3'!$I$2:$I$500=$D$28),--('Week 3'!$H$2:$H$500&gt;'Week 3'!$J$2:$J$500))+SUMPRODUCT(--('Week 3'!$G$2:$G$500=$D$28),--('Week 3'!$I$2:$I$500=$A34),--('Week 3'!$J$2:$J$500&gt;'Week 3'!$H$2:$H$500)))+(SUMPRODUCT(--('Week 4'!$B$2:$B$500=$A34),--('Week 4'!$D$2:$D$500=$D$28),--('Week 4'!$C$2:$C$500&gt;'Week 4'!$E$2:$E$500))+SUMPRODUCT(--('Week 4'!$B$2:$B$500=$D$28),--('Week 4'!$D$2:$D$500=$A34),--('Week 4'!$E$2:$E$500&gt;'Week 4'!$C$2:$C$500)))+(SUMPRODUCT(--('Week 4'!$G$2:$G$500=$A34),--('Week 4'!$I$2:$I$500=$D$28),--('Week 4'!$H$2:$H$500&gt;'Week 4'!$J$2:$J$500))+SUMPRODUCT(--('Week 4'!$G$2:$G$500=$D$28),--('Week 4'!$I$2:$I$500=$A34),--('Week 4'!$J$2:$J$500&gt;'Week 4'!$H$2:$H$500)))+(SUMPRODUCT(--('Week 5'!$B$2:$B$500=$A34),--('Week 5'!$D$2:$D$500=$D$28),--('Week 5'!$C$2:$C$500&gt;'Week 5'!$E$2:$E$500))+SUMPRODUCT(--('Week 5'!$B$2:$B$500=$D$28),--('Week 5'!$D$2:$D$500=$A34),--('Week 5'!$E$2:$E$500&gt;'Week 5'!$C$2:$C$500)))+(SUMPRODUCT(--('Week 5'!$G$2:$G$500=$A34),--('Week 5'!$I$2:$I$500=$D$28),--('Week 5'!$H$2:$H$500&gt;'Week 5'!$J$2:$J$500))+SUMPRODUCT(--('Week 5'!$G$2:$G$500=$D$28),--('Week 5'!$I$2:$I$500=$A34),--('Week 5'!$J$2:$J$500&gt;'Week 5'!$H$2:$H$500)))+(SUMPRODUCT(--('Week 6'!$B$2:$B$500=$A34),--('Week 6'!$D$2:$D$500=$D$28),--('Week 6'!$C$2:$C$500&gt;'Week 6'!$E$2:$E$500))+SUMPRODUCT(--('Week 6'!$B$2:$B$500=$D$28),--('Week 6'!$D$2:$D$500=$A34),--('Week 6'!$E$2:$E$500&gt;'Week 6'!$C$2:$C$500)))+(SUMPRODUCT(--('Week 6'!$G$2:$G$500=$A34),--('Week 6'!$I$2:$I$500=$D$28),--('Week 6'!$H$2:$H$500&gt;'Week 6'!$J$2:$J$500))+SUMPRODUCT(--('Week 6'!$G$2:$G$500=$D$28),--('Week 6'!$I$2:$I$500=$A34),--('Week 6'!$J$2:$J$500&gt;'Week 6'!$H$2:$H$500)))</f>
        <v/>
      </c>
      <c r="E34">
        <f>(SUMPRODUCT(--('Week 1'!$B$2:$B$500=$A34),--('Week 1'!$D$2:$D$500=$E$28),--('Week 1'!$C$2:$C$500&gt;'Week 1'!$E$2:$E$500))+SUMPRODUCT(--('Week 1'!$B$2:$B$500=$E$28),--('Week 1'!$D$2:$D$500=$A34),--('Week 1'!$E$2:$E$500&gt;'Week 1'!$C$2:$C$500)))+(SUMPRODUCT(--('Week 1'!$G$2:$G$500=$A34),--('Week 1'!$I$2:$I$500=$E$28),--('Week 1'!$H$2:$H$500&gt;'Week 1'!$J$2:$J$500))+SUMPRODUCT(--('Week 1'!$G$2:$G$500=$E$28),--('Week 1'!$I$2:$I$500=$A34),--('Week 1'!$J$2:$J$500&gt;'Week 1'!$H$2:$H$500)))+(SUMPRODUCT(--('Week 2'!$B$2:$B$500=$A34),--('Week 2'!$D$2:$D$500=$E$28),--('Week 2'!$C$2:$C$500&gt;'Week 2'!$E$2:$E$500))+SUMPRODUCT(--('Week 2'!$B$2:$B$500=$E$28),--('Week 2'!$D$2:$D$500=$A34),--('Week 2'!$E$2:$E$500&gt;'Week 2'!$C$2:$C$500)))+(SUMPRODUCT(--('Week 2'!$G$2:$G$500=$A34),--('Week 2'!$I$2:$I$500=$E$28),--('Week 2'!$H$2:$H$500&gt;'Week 2'!$J$2:$J$500))+SUMPRODUCT(--('Week 2'!$G$2:$G$500=$E$28),--('Week 2'!$I$2:$I$500=$A34),--('Week 2'!$J$2:$J$500&gt;'Week 2'!$H$2:$H$500)))+(SUMPRODUCT(--('Week 3'!$B$2:$B$500=$A34),--('Week 3'!$D$2:$D$500=$E$28),--('Week 3'!$C$2:$C$500&gt;'Week 3'!$E$2:$E$500))+SUMPRODUCT(--('Week 3'!$B$2:$B$500=$E$28),--('Week 3'!$D$2:$D$500=$A34),--('Week 3'!$E$2:$E$500&gt;'Week 3'!$C$2:$C$500)))+(SUMPRODUCT(--('Week 3'!$G$2:$G$500=$A34),--('Week 3'!$I$2:$I$500=$E$28),--('Week 3'!$H$2:$H$500&gt;'Week 3'!$J$2:$J$500))+SUMPRODUCT(--('Week 3'!$G$2:$G$500=$E$28),--('Week 3'!$I$2:$I$500=$A34),--('Week 3'!$J$2:$J$500&gt;'Week 3'!$H$2:$H$500)))+(SUMPRODUCT(--('Week 4'!$B$2:$B$500=$A34),--('Week 4'!$D$2:$D$500=$E$28),--('Week 4'!$C$2:$C$500&gt;'Week 4'!$E$2:$E$500))+SUMPRODUCT(--('Week 4'!$B$2:$B$500=$E$28),--('Week 4'!$D$2:$D$500=$A34),--('Week 4'!$E$2:$E$500&gt;'Week 4'!$C$2:$C$500)))+(SUMPRODUCT(--('Week 4'!$G$2:$G$500=$A34),--('Week 4'!$I$2:$I$500=$E$28),--('Week 4'!$H$2:$H$500&gt;'Week 4'!$J$2:$J$500))+SUMPRODUCT(--('Week 4'!$G$2:$G$500=$E$28),--('Week 4'!$I$2:$I$500=$A34),--('Week 4'!$J$2:$J$500&gt;'Week 4'!$H$2:$H$500)))+(SUMPRODUCT(--('Week 5'!$B$2:$B$500=$A34),--('Week 5'!$D$2:$D$500=$E$28),--('Week 5'!$C$2:$C$500&gt;'Week 5'!$E$2:$E$500))+SUMPRODUCT(--('Week 5'!$B$2:$B$500=$E$28),--('Week 5'!$D$2:$D$500=$A34),--('Week 5'!$E$2:$E$500&gt;'Week 5'!$C$2:$C$500)))+(SUMPRODUCT(--('Week 5'!$G$2:$G$500=$A34),--('Week 5'!$I$2:$I$500=$E$28),--('Week 5'!$H$2:$H$500&gt;'Week 5'!$J$2:$J$500))+SUMPRODUCT(--('Week 5'!$G$2:$G$500=$E$28),--('Week 5'!$I$2:$I$500=$A34),--('Week 5'!$J$2:$J$500&gt;'Week 5'!$H$2:$H$500)))+(SUMPRODUCT(--('Week 6'!$B$2:$B$500=$A34),--('Week 6'!$D$2:$D$500=$E$28),--('Week 6'!$C$2:$C$500&gt;'Week 6'!$E$2:$E$500))+SUMPRODUCT(--('Week 6'!$B$2:$B$500=$E$28),--('Week 6'!$D$2:$D$500=$A34),--('Week 6'!$E$2:$E$500&gt;'Week 6'!$C$2:$C$500)))+(SUMPRODUCT(--('Week 6'!$G$2:$G$500=$A34),--('Week 6'!$I$2:$I$500=$E$28),--('Week 6'!$H$2:$H$500&gt;'Week 6'!$J$2:$J$500))+SUMPRODUCT(--('Week 6'!$G$2:$G$500=$E$28),--('Week 6'!$I$2:$I$500=$A34),--('Week 6'!$J$2:$J$500&gt;'Week 6'!$H$2:$H$500)))</f>
        <v/>
      </c>
      <c r="F34">
        <f>(SUMPRODUCT(--('Week 1'!$B$2:$B$500=$A34),--('Week 1'!$D$2:$D$500=$F$28),--('Week 1'!$C$2:$C$500&gt;'Week 1'!$E$2:$E$500))+SUMPRODUCT(--('Week 1'!$B$2:$B$500=$F$28),--('Week 1'!$D$2:$D$500=$A34),--('Week 1'!$E$2:$E$500&gt;'Week 1'!$C$2:$C$500)))+(SUMPRODUCT(--('Week 1'!$G$2:$G$500=$A34),--('Week 1'!$I$2:$I$500=$F$28),--('Week 1'!$H$2:$H$500&gt;'Week 1'!$J$2:$J$500))+SUMPRODUCT(--('Week 1'!$G$2:$G$500=$F$28),--('Week 1'!$I$2:$I$500=$A34),--('Week 1'!$J$2:$J$500&gt;'Week 1'!$H$2:$H$500)))+(SUMPRODUCT(--('Week 2'!$B$2:$B$500=$A34),--('Week 2'!$D$2:$D$500=$F$28),--('Week 2'!$C$2:$C$500&gt;'Week 2'!$E$2:$E$500))+SUMPRODUCT(--('Week 2'!$B$2:$B$500=$F$28),--('Week 2'!$D$2:$D$500=$A34),--('Week 2'!$E$2:$E$500&gt;'Week 2'!$C$2:$C$500)))+(SUMPRODUCT(--('Week 2'!$G$2:$G$500=$A34),--('Week 2'!$I$2:$I$500=$F$28),--('Week 2'!$H$2:$H$500&gt;'Week 2'!$J$2:$J$500))+SUMPRODUCT(--('Week 2'!$G$2:$G$500=$F$28),--('Week 2'!$I$2:$I$500=$A34),--('Week 2'!$J$2:$J$500&gt;'Week 2'!$H$2:$H$500)))+(SUMPRODUCT(--('Week 3'!$B$2:$B$500=$A34),--('Week 3'!$D$2:$D$500=$F$28),--('Week 3'!$C$2:$C$500&gt;'Week 3'!$E$2:$E$500))+SUMPRODUCT(--('Week 3'!$B$2:$B$500=$F$28),--('Week 3'!$D$2:$D$500=$A34),--('Week 3'!$E$2:$E$500&gt;'Week 3'!$C$2:$C$500)))+(SUMPRODUCT(--('Week 3'!$G$2:$G$500=$A34),--('Week 3'!$I$2:$I$500=$F$28),--('Week 3'!$H$2:$H$500&gt;'Week 3'!$J$2:$J$500))+SUMPRODUCT(--('Week 3'!$G$2:$G$500=$F$28),--('Week 3'!$I$2:$I$500=$A34),--('Week 3'!$J$2:$J$500&gt;'Week 3'!$H$2:$H$500)))+(SUMPRODUCT(--('Week 4'!$B$2:$B$500=$A34),--('Week 4'!$D$2:$D$500=$F$28),--('Week 4'!$C$2:$C$500&gt;'Week 4'!$E$2:$E$500))+SUMPRODUCT(--('Week 4'!$B$2:$B$500=$F$28),--('Week 4'!$D$2:$D$500=$A34),--('Week 4'!$E$2:$E$500&gt;'Week 4'!$C$2:$C$500)))+(SUMPRODUCT(--('Week 4'!$G$2:$G$500=$A34),--('Week 4'!$I$2:$I$500=$F$28),--('Week 4'!$H$2:$H$500&gt;'Week 4'!$J$2:$J$500))+SUMPRODUCT(--('Week 4'!$G$2:$G$500=$F$28),--('Week 4'!$I$2:$I$500=$A34),--('Week 4'!$J$2:$J$500&gt;'Week 4'!$H$2:$H$500)))+(SUMPRODUCT(--('Week 5'!$B$2:$B$500=$A34),--('Week 5'!$D$2:$D$500=$F$28),--('Week 5'!$C$2:$C$500&gt;'Week 5'!$E$2:$E$500))+SUMPRODUCT(--('Week 5'!$B$2:$B$500=$F$28),--('Week 5'!$D$2:$D$500=$A34),--('Week 5'!$E$2:$E$500&gt;'Week 5'!$C$2:$C$500)))+(SUMPRODUCT(--('Week 5'!$G$2:$G$500=$A34),--('Week 5'!$I$2:$I$500=$F$28),--('Week 5'!$H$2:$H$500&gt;'Week 5'!$J$2:$J$500))+SUMPRODUCT(--('Week 5'!$G$2:$G$500=$F$28),--('Week 5'!$I$2:$I$500=$A34),--('Week 5'!$J$2:$J$500&gt;'Week 5'!$H$2:$H$500)))+(SUMPRODUCT(--('Week 6'!$B$2:$B$500=$A34),--('Week 6'!$D$2:$D$500=$F$28),--('Week 6'!$C$2:$C$500&gt;'Week 6'!$E$2:$E$500))+SUMPRODUCT(--('Week 6'!$B$2:$B$500=$F$28),--('Week 6'!$D$2:$D$500=$A34),--('Week 6'!$E$2:$E$500&gt;'Week 6'!$C$2:$C$500)))+(SUMPRODUCT(--('Week 6'!$G$2:$G$500=$A34),--('Week 6'!$I$2:$I$500=$F$28),--('Week 6'!$H$2:$H$500&gt;'Week 6'!$J$2:$J$500))+SUMPRODUCT(--('Week 6'!$G$2:$G$500=$F$28),--('Week 6'!$I$2:$I$500=$A34),--('Week 6'!$J$2:$J$500&gt;'Week 6'!$H$2:$H$500)))</f>
        <v/>
      </c>
      <c r="G34" t="inlineStr">
        <is>
          <t>—</t>
        </is>
      </c>
      <c r="H34">
        <f>(SUMPRODUCT(--('Week 1'!$B$2:$B$500=$A34),--('Week 1'!$D$2:$D$500=$H$28),--('Week 1'!$C$2:$C$500&gt;'Week 1'!$E$2:$E$500))+SUMPRODUCT(--('Week 1'!$B$2:$B$500=$H$28),--('Week 1'!$D$2:$D$500=$A34),--('Week 1'!$E$2:$E$500&gt;'Week 1'!$C$2:$C$500)))+(SUMPRODUCT(--('Week 1'!$G$2:$G$500=$A34),--('Week 1'!$I$2:$I$500=$H$28),--('Week 1'!$H$2:$H$500&gt;'Week 1'!$J$2:$J$500))+SUMPRODUCT(--('Week 1'!$G$2:$G$500=$H$28),--('Week 1'!$I$2:$I$500=$A34),--('Week 1'!$J$2:$J$500&gt;'Week 1'!$H$2:$H$500)))+(SUMPRODUCT(--('Week 2'!$B$2:$B$500=$A34),--('Week 2'!$D$2:$D$500=$H$28),--('Week 2'!$C$2:$C$500&gt;'Week 2'!$E$2:$E$500))+SUMPRODUCT(--('Week 2'!$B$2:$B$500=$H$28),--('Week 2'!$D$2:$D$500=$A34),--('Week 2'!$E$2:$E$500&gt;'Week 2'!$C$2:$C$500)))+(SUMPRODUCT(--('Week 2'!$G$2:$G$500=$A34),--('Week 2'!$I$2:$I$500=$H$28),--('Week 2'!$H$2:$H$500&gt;'Week 2'!$J$2:$J$500))+SUMPRODUCT(--('Week 2'!$G$2:$G$500=$H$28),--('Week 2'!$I$2:$I$500=$A34),--('Week 2'!$J$2:$J$500&gt;'Week 2'!$H$2:$H$500)))+(SUMPRODUCT(--('Week 3'!$B$2:$B$500=$A34),--('Week 3'!$D$2:$D$500=$H$28),--('Week 3'!$C$2:$C$500&gt;'Week 3'!$E$2:$E$500))+SUMPRODUCT(--('Week 3'!$B$2:$B$500=$H$28),--('Week 3'!$D$2:$D$500=$A34),--('Week 3'!$E$2:$E$500&gt;'Week 3'!$C$2:$C$500)))+(SUMPRODUCT(--('Week 3'!$G$2:$G$500=$A34),--('Week 3'!$I$2:$I$500=$H$28),--('Week 3'!$H$2:$H$500&gt;'Week 3'!$J$2:$J$500))+SUMPRODUCT(--('Week 3'!$G$2:$G$500=$H$28),--('Week 3'!$I$2:$I$500=$A34),--('Week 3'!$J$2:$J$500&gt;'Week 3'!$H$2:$H$500)))+(SUMPRODUCT(--('Week 4'!$B$2:$B$500=$A34),--('Week 4'!$D$2:$D$500=$H$28),--('Week 4'!$C$2:$C$500&gt;'Week 4'!$E$2:$E$500))+SUMPRODUCT(--('Week 4'!$B$2:$B$500=$H$28),--('Week 4'!$D$2:$D$500=$A34),--('Week 4'!$E$2:$E$500&gt;'Week 4'!$C$2:$C$500)))+(SUMPRODUCT(--('Week 4'!$G$2:$G$500=$A34),--('Week 4'!$I$2:$I$500=$H$28),--('Week 4'!$H$2:$H$500&gt;'Week 4'!$J$2:$J$500))+SUMPRODUCT(--('Week 4'!$G$2:$G$500=$H$28),--('Week 4'!$I$2:$I$500=$A34),--('Week 4'!$J$2:$J$500&gt;'Week 4'!$H$2:$H$500)))+(SUMPRODUCT(--('Week 5'!$B$2:$B$500=$A34),--('Week 5'!$D$2:$D$500=$H$28),--('Week 5'!$C$2:$C$500&gt;'Week 5'!$E$2:$E$500))+SUMPRODUCT(--('Week 5'!$B$2:$B$500=$H$28),--('Week 5'!$D$2:$D$500=$A34),--('Week 5'!$E$2:$E$500&gt;'Week 5'!$C$2:$C$500)))+(SUMPRODUCT(--('Week 5'!$G$2:$G$500=$A34),--('Week 5'!$I$2:$I$500=$H$28),--('Week 5'!$H$2:$H$500&gt;'Week 5'!$J$2:$J$500))+SUMPRODUCT(--('Week 5'!$G$2:$G$500=$H$28),--('Week 5'!$I$2:$I$500=$A34),--('Week 5'!$J$2:$J$500&gt;'Week 5'!$H$2:$H$500)))+(SUMPRODUCT(--('Week 6'!$B$2:$B$500=$A34),--('Week 6'!$D$2:$D$500=$H$28),--('Week 6'!$C$2:$C$500&gt;'Week 6'!$E$2:$E$500))+SUMPRODUCT(--('Week 6'!$B$2:$B$500=$H$28),--('Week 6'!$D$2:$D$500=$A34),--('Week 6'!$E$2:$E$500&gt;'Week 6'!$C$2:$C$500)))+(SUMPRODUCT(--('Week 6'!$G$2:$G$500=$A34),--('Week 6'!$I$2:$I$500=$H$28),--('Week 6'!$H$2:$H$500&gt;'Week 6'!$J$2:$J$500))+SUMPRODUCT(--('Week 6'!$G$2:$G$500=$H$28),--('Week 6'!$I$2:$I$500=$A34),--('Week 6'!$J$2:$J$500&gt;'Week 6'!$H$2:$H$500)))</f>
        <v/>
      </c>
      <c r="I34">
        <f>(SUMPRODUCT(--('Week 1'!$B$2:$B$500=$A34),--('Week 1'!$D$2:$D$500=$I$28),--('Week 1'!$C$2:$C$500&gt;'Week 1'!$E$2:$E$500))+SUMPRODUCT(--('Week 1'!$B$2:$B$500=$I$28),--('Week 1'!$D$2:$D$500=$A34),--('Week 1'!$E$2:$E$500&gt;'Week 1'!$C$2:$C$500)))+(SUMPRODUCT(--('Week 1'!$G$2:$G$500=$A34),--('Week 1'!$I$2:$I$500=$I$28),--('Week 1'!$H$2:$H$500&gt;'Week 1'!$J$2:$J$500))+SUMPRODUCT(--('Week 1'!$G$2:$G$500=$I$28),--('Week 1'!$I$2:$I$500=$A34),--('Week 1'!$J$2:$J$500&gt;'Week 1'!$H$2:$H$500)))+(SUMPRODUCT(--('Week 2'!$B$2:$B$500=$A34),--('Week 2'!$D$2:$D$500=$I$28),--('Week 2'!$C$2:$C$500&gt;'Week 2'!$E$2:$E$500))+SUMPRODUCT(--('Week 2'!$B$2:$B$500=$I$28),--('Week 2'!$D$2:$D$500=$A34),--('Week 2'!$E$2:$E$500&gt;'Week 2'!$C$2:$C$500)))+(SUMPRODUCT(--('Week 2'!$G$2:$G$500=$A34),--('Week 2'!$I$2:$I$500=$I$28),--('Week 2'!$H$2:$H$500&gt;'Week 2'!$J$2:$J$500))+SUMPRODUCT(--('Week 2'!$G$2:$G$500=$I$28),--('Week 2'!$I$2:$I$500=$A34),--('Week 2'!$J$2:$J$500&gt;'Week 2'!$H$2:$H$500)))+(SUMPRODUCT(--('Week 3'!$B$2:$B$500=$A34),--('Week 3'!$D$2:$D$500=$I$28),--('Week 3'!$C$2:$C$500&gt;'Week 3'!$E$2:$E$500))+SUMPRODUCT(--('Week 3'!$B$2:$B$500=$I$28),--('Week 3'!$D$2:$D$500=$A34),--('Week 3'!$E$2:$E$500&gt;'Week 3'!$C$2:$C$500)))+(SUMPRODUCT(--('Week 3'!$G$2:$G$500=$A34),--('Week 3'!$I$2:$I$500=$I$28),--('Week 3'!$H$2:$H$500&gt;'Week 3'!$J$2:$J$500))+SUMPRODUCT(--('Week 3'!$G$2:$G$500=$I$28),--('Week 3'!$I$2:$I$500=$A34),--('Week 3'!$J$2:$J$500&gt;'Week 3'!$H$2:$H$500)))+(SUMPRODUCT(--('Week 4'!$B$2:$B$500=$A34),--('Week 4'!$D$2:$D$500=$I$28),--('Week 4'!$C$2:$C$500&gt;'Week 4'!$E$2:$E$500))+SUMPRODUCT(--('Week 4'!$B$2:$B$500=$I$28),--('Week 4'!$D$2:$D$500=$A34),--('Week 4'!$E$2:$E$500&gt;'Week 4'!$C$2:$C$500)))+(SUMPRODUCT(--('Week 4'!$G$2:$G$500=$A34),--('Week 4'!$I$2:$I$500=$I$28),--('Week 4'!$H$2:$H$500&gt;'Week 4'!$J$2:$J$500))+SUMPRODUCT(--('Week 4'!$G$2:$G$500=$I$28),--('Week 4'!$I$2:$I$500=$A34),--('Week 4'!$J$2:$J$500&gt;'Week 4'!$H$2:$H$500)))+(SUMPRODUCT(--('Week 5'!$B$2:$B$500=$A34),--('Week 5'!$D$2:$D$500=$I$28),--('Week 5'!$C$2:$C$500&gt;'Week 5'!$E$2:$E$500))+SUMPRODUCT(--('Week 5'!$B$2:$B$500=$I$28),--('Week 5'!$D$2:$D$500=$A34),--('Week 5'!$E$2:$E$500&gt;'Week 5'!$C$2:$C$500)))+(SUMPRODUCT(--('Week 5'!$G$2:$G$500=$A34),--('Week 5'!$I$2:$I$500=$I$28),--('Week 5'!$H$2:$H$500&gt;'Week 5'!$J$2:$J$500))+SUMPRODUCT(--('Week 5'!$G$2:$G$500=$I$28),--('Week 5'!$I$2:$I$500=$A34),--('Week 5'!$J$2:$J$500&gt;'Week 5'!$H$2:$H$500)))+(SUMPRODUCT(--('Week 6'!$B$2:$B$500=$A34),--('Week 6'!$D$2:$D$500=$I$28),--('Week 6'!$C$2:$C$500&gt;'Week 6'!$E$2:$E$500))+SUMPRODUCT(--('Week 6'!$B$2:$B$500=$I$28),--('Week 6'!$D$2:$D$500=$A34),--('Week 6'!$E$2:$E$500&gt;'Week 6'!$C$2:$C$500)))+(SUMPRODUCT(--('Week 6'!$G$2:$G$500=$A34),--('Week 6'!$I$2:$I$500=$I$28),--('Week 6'!$H$2:$H$500&gt;'Week 6'!$J$2:$J$500))+SUMPRODUCT(--('Week 6'!$G$2:$G$500=$I$28),--('Week 6'!$I$2:$I$500=$A34),--('Week 6'!$J$2:$J$500&gt;'Week 6'!$H$2:$H$500)))</f>
        <v/>
      </c>
    </row>
    <row r="35">
      <c r="A35" t="inlineStr">
        <is>
          <t>Team 7</t>
        </is>
      </c>
      <c r="B35">
        <f>(SUMPRODUCT(--('Week 1'!$B$2:$B$500=$A35),--('Week 1'!$D$2:$D$500=$B$28),--('Week 1'!$C$2:$C$500&gt;'Week 1'!$E$2:$E$500))+SUMPRODUCT(--('Week 1'!$B$2:$B$500=$B$28),--('Week 1'!$D$2:$D$500=$A35),--('Week 1'!$E$2:$E$500&gt;'Week 1'!$C$2:$C$500)))+(SUMPRODUCT(--('Week 1'!$G$2:$G$500=$A35),--('Week 1'!$I$2:$I$500=$B$28),--('Week 1'!$H$2:$H$500&gt;'Week 1'!$J$2:$J$500))+SUMPRODUCT(--('Week 1'!$G$2:$G$500=$B$28),--('Week 1'!$I$2:$I$500=$A35),--('Week 1'!$J$2:$J$500&gt;'Week 1'!$H$2:$H$500)))+(SUMPRODUCT(--('Week 2'!$B$2:$B$500=$A35),--('Week 2'!$D$2:$D$500=$B$28),--('Week 2'!$C$2:$C$500&gt;'Week 2'!$E$2:$E$500))+SUMPRODUCT(--('Week 2'!$B$2:$B$500=$B$28),--('Week 2'!$D$2:$D$500=$A35),--('Week 2'!$E$2:$E$500&gt;'Week 2'!$C$2:$C$500)))+(SUMPRODUCT(--('Week 2'!$G$2:$G$500=$A35),--('Week 2'!$I$2:$I$500=$B$28),--('Week 2'!$H$2:$H$500&gt;'Week 2'!$J$2:$J$500))+SUMPRODUCT(--('Week 2'!$G$2:$G$500=$B$28),--('Week 2'!$I$2:$I$500=$A35),--('Week 2'!$J$2:$J$500&gt;'Week 2'!$H$2:$H$500)))+(SUMPRODUCT(--('Week 3'!$B$2:$B$500=$A35),--('Week 3'!$D$2:$D$500=$B$28),--('Week 3'!$C$2:$C$500&gt;'Week 3'!$E$2:$E$500))+SUMPRODUCT(--('Week 3'!$B$2:$B$500=$B$28),--('Week 3'!$D$2:$D$500=$A35),--('Week 3'!$E$2:$E$500&gt;'Week 3'!$C$2:$C$500)))+(SUMPRODUCT(--('Week 3'!$G$2:$G$500=$A35),--('Week 3'!$I$2:$I$500=$B$28),--('Week 3'!$H$2:$H$500&gt;'Week 3'!$J$2:$J$500))+SUMPRODUCT(--('Week 3'!$G$2:$G$500=$B$28),--('Week 3'!$I$2:$I$500=$A35),--('Week 3'!$J$2:$J$500&gt;'Week 3'!$H$2:$H$500)))+(SUMPRODUCT(--('Week 4'!$B$2:$B$500=$A35),--('Week 4'!$D$2:$D$500=$B$28),--('Week 4'!$C$2:$C$500&gt;'Week 4'!$E$2:$E$500))+SUMPRODUCT(--('Week 4'!$B$2:$B$500=$B$28),--('Week 4'!$D$2:$D$500=$A35),--('Week 4'!$E$2:$E$500&gt;'Week 4'!$C$2:$C$500)))+(SUMPRODUCT(--('Week 4'!$G$2:$G$500=$A35),--('Week 4'!$I$2:$I$500=$B$28),--('Week 4'!$H$2:$H$500&gt;'Week 4'!$J$2:$J$500))+SUMPRODUCT(--('Week 4'!$G$2:$G$500=$B$28),--('Week 4'!$I$2:$I$500=$A35),--('Week 4'!$J$2:$J$500&gt;'Week 4'!$H$2:$H$500)))+(SUMPRODUCT(--('Week 5'!$B$2:$B$500=$A35),--('Week 5'!$D$2:$D$500=$B$28),--('Week 5'!$C$2:$C$500&gt;'Week 5'!$E$2:$E$500))+SUMPRODUCT(--('Week 5'!$B$2:$B$500=$B$28),--('Week 5'!$D$2:$D$500=$A35),--('Week 5'!$E$2:$E$500&gt;'Week 5'!$C$2:$C$500)))+(SUMPRODUCT(--('Week 5'!$G$2:$G$500=$A35),--('Week 5'!$I$2:$I$500=$B$28),--('Week 5'!$H$2:$H$500&gt;'Week 5'!$J$2:$J$500))+SUMPRODUCT(--('Week 5'!$G$2:$G$500=$B$28),--('Week 5'!$I$2:$I$500=$A35),--('Week 5'!$J$2:$J$500&gt;'Week 5'!$H$2:$H$500)))+(SUMPRODUCT(--('Week 6'!$B$2:$B$500=$A35),--('Week 6'!$D$2:$D$500=$B$28),--('Week 6'!$C$2:$C$500&gt;'Week 6'!$E$2:$E$500))+SUMPRODUCT(--('Week 6'!$B$2:$B$500=$B$28),--('Week 6'!$D$2:$D$500=$A35),--('Week 6'!$E$2:$E$500&gt;'Week 6'!$C$2:$C$500)))+(SUMPRODUCT(--('Week 6'!$G$2:$G$500=$A35),--('Week 6'!$I$2:$I$500=$B$28),--('Week 6'!$H$2:$H$500&gt;'Week 6'!$J$2:$J$500))+SUMPRODUCT(--('Week 6'!$G$2:$G$500=$B$28),--('Week 6'!$I$2:$I$500=$A35),--('Week 6'!$J$2:$J$500&gt;'Week 6'!$H$2:$H$500)))</f>
        <v/>
      </c>
      <c r="C35">
        <f>(SUMPRODUCT(--('Week 1'!$B$2:$B$500=$A35),--('Week 1'!$D$2:$D$500=$C$28),--('Week 1'!$C$2:$C$500&gt;'Week 1'!$E$2:$E$500))+SUMPRODUCT(--('Week 1'!$B$2:$B$500=$C$28),--('Week 1'!$D$2:$D$500=$A35),--('Week 1'!$E$2:$E$500&gt;'Week 1'!$C$2:$C$500)))+(SUMPRODUCT(--('Week 1'!$G$2:$G$500=$A35),--('Week 1'!$I$2:$I$500=$C$28),--('Week 1'!$H$2:$H$500&gt;'Week 1'!$J$2:$J$500))+SUMPRODUCT(--('Week 1'!$G$2:$G$500=$C$28),--('Week 1'!$I$2:$I$500=$A35),--('Week 1'!$J$2:$J$500&gt;'Week 1'!$H$2:$H$500)))+(SUMPRODUCT(--('Week 2'!$B$2:$B$500=$A35),--('Week 2'!$D$2:$D$500=$C$28),--('Week 2'!$C$2:$C$500&gt;'Week 2'!$E$2:$E$500))+SUMPRODUCT(--('Week 2'!$B$2:$B$500=$C$28),--('Week 2'!$D$2:$D$500=$A35),--('Week 2'!$E$2:$E$500&gt;'Week 2'!$C$2:$C$500)))+(SUMPRODUCT(--('Week 2'!$G$2:$G$500=$A35),--('Week 2'!$I$2:$I$500=$C$28),--('Week 2'!$H$2:$H$500&gt;'Week 2'!$J$2:$J$500))+SUMPRODUCT(--('Week 2'!$G$2:$G$500=$C$28),--('Week 2'!$I$2:$I$500=$A35),--('Week 2'!$J$2:$J$500&gt;'Week 2'!$H$2:$H$500)))+(SUMPRODUCT(--('Week 3'!$B$2:$B$500=$A35),--('Week 3'!$D$2:$D$500=$C$28),--('Week 3'!$C$2:$C$500&gt;'Week 3'!$E$2:$E$500))+SUMPRODUCT(--('Week 3'!$B$2:$B$500=$C$28),--('Week 3'!$D$2:$D$500=$A35),--('Week 3'!$E$2:$E$500&gt;'Week 3'!$C$2:$C$500)))+(SUMPRODUCT(--('Week 3'!$G$2:$G$500=$A35),--('Week 3'!$I$2:$I$500=$C$28),--('Week 3'!$H$2:$H$500&gt;'Week 3'!$J$2:$J$500))+SUMPRODUCT(--('Week 3'!$G$2:$G$500=$C$28),--('Week 3'!$I$2:$I$500=$A35),--('Week 3'!$J$2:$J$500&gt;'Week 3'!$H$2:$H$500)))+(SUMPRODUCT(--('Week 4'!$B$2:$B$500=$A35),--('Week 4'!$D$2:$D$500=$C$28),--('Week 4'!$C$2:$C$500&gt;'Week 4'!$E$2:$E$500))+SUMPRODUCT(--('Week 4'!$B$2:$B$500=$C$28),--('Week 4'!$D$2:$D$500=$A35),--('Week 4'!$E$2:$E$500&gt;'Week 4'!$C$2:$C$500)))+(SUMPRODUCT(--('Week 4'!$G$2:$G$500=$A35),--('Week 4'!$I$2:$I$500=$C$28),--('Week 4'!$H$2:$H$500&gt;'Week 4'!$J$2:$J$500))+SUMPRODUCT(--('Week 4'!$G$2:$G$500=$C$28),--('Week 4'!$I$2:$I$500=$A35),--('Week 4'!$J$2:$J$500&gt;'Week 4'!$H$2:$H$500)))+(SUMPRODUCT(--('Week 5'!$B$2:$B$500=$A35),--('Week 5'!$D$2:$D$500=$C$28),--('Week 5'!$C$2:$C$500&gt;'Week 5'!$E$2:$E$500))+SUMPRODUCT(--('Week 5'!$B$2:$B$500=$C$28),--('Week 5'!$D$2:$D$500=$A35),--('Week 5'!$E$2:$E$500&gt;'Week 5'!$C$2:$C$500)))+(SUMPRODUCT(--('Week 5'!$G$2:$G$500=$A35),--('Week 5'!$I$2:$I$500=$C$28),--('Week 5'!$H$2:$H$500&gt;'Week 5'!$J$2:$J$500))+SUMPRODUCT(--('Week 5'!$G$2:$G$500=$C$28),--('Week 5'!$I$2:$I$500=$A35),--('Week 5'!$J$2:$J$500&gt;'Week 5'!$H$2:$H$500)))+(SUMPRODUCT(--('Week 6'!$B$2:$B$500=$A35),--('Week 6'!$D$2:$D$500=$C$28),--('Week 6'!$C$2:$C$500&gt;'Week 6'!$E$2:$E$500))+SUMPRODUCT(--('Week 6'!$B$2:$B$500=$C$28),--('Week 6'!$D$2:$D$500=$A35),--('Week 6'!$E$2:$E$500&gt;'Week 6'!$C$2:$C$500)))+(SUMPRODUCT(--('Week 6'!$G$2:$G$500=$A35),--('Week 6'!$I$2:$I$500=$C$28),--('Week 6'!$H$2:$H$500&gt;'Week 6'!$J$2:$J$500))+SUMPRODUCT(--('Week 6'!$G$2:$G$500=$C$28),--('Week 6'!$I$2:$I$500=$A35),--('Week 6'!$J$2:$J$500&gt;'Week 6'!$H$2:$H$500)))</f>
        <v/>
      </c>
      <c r="D35">
        <f>(SUMPRODUCT(--('Week 1'!$B$2:$B$500=$A35),--('Week 1'!$D$2:$D$500=$D$28),--('Week 1'!$C$2:$C$500&gt;'Week 1'!$E$2:$E$500))+SUMPRODUCT(--('Week 1'!$B$2:$B$500=$D$28),--('Week 1'!$D$2:$D$500=$A35),--('Week 1'!$E$2:$E$500&gt;'Week 1'!$C$2:$C$500)))+(SUMPRODUCT(--('Week 1'!$G$2:$G$500=$A35),--('Week 1'!$I$2:$I$500=$D$28),--('Week 1'!$H$2:$H$500&gt;'Week 1'!$J$2:$J$500))+SUMPRODUCT(--('Week 1'!$G$2:$G$500=$D$28),--('Week 1'!$I$2:$I$500=$A35),--('Week 1'!$J$2:$J$500&gt;'Week 1'!$H$2:$H$500)))+(SUMPRODUCT(--('Week 2'!$B$2:$B$500=$A35),--('Week 2'!$D$2:$D$500=$D$28),--('Week 2'!$C$2:$C$500&gt;'Week 2'!$E$2:$E$500))+SUMPRODUCT(--('Week 2'!$B$2:$B$500=$D$28),--('Week 2'!$D$2:$D$500=$A35),--('Week 2'!$E$2:$E$500&gt;'Week 2'!$C$2:$C$500)))+(SUMPRODUCT(--('Week 2'!$G$2:$G$500=$A35),--('Week 2'!$I$2:$I$500=$D$28),--('Week 2'!$H$2:$H$500&gt;'Week 2'!$J$2:$J$500))+SUMPRODUCT(--('Week 2'!$G$2:$G$500=$D$28),--('Week 2'!$I$2:$I$500=$A35),--('Week 2'!$J$2:$J$500&gt;'Week 2'!$H$2:$H$500)))+(SUMPRODUCT(--('Week 3'!$B$2:$B$500=$A35),--('Week 3'!$D$2:$D$500=$D$28),--('Week 3'!$C$2:$C$500&gt;'Week 3'!$E$2:$E$500))+SUMPRODUCT(--('Week 3'!$B$2:$B$500=$D$28),--('Week 3'!$D$2:$D$500=$A35),--('Week 3'!$E$2:$E$500&gt;'Week 3'!$C$2:$C$500)))+(SUMPRODUCT(--('Week 3'!$G$2:$G$500=$A35),--('Week 3'!$I$2:$I$500=$D$28),--('Week 3'!$H$2:$H$500&gt;'Week 3'!$J$2:$J$500))+SUMPRODUCT(--('Week 3'!$G$2:$G$500=$D$28),--('Week 3'!$I$2:$I$500=$A35),--('Week 3'!$J$2:$J$500&gt;'Week 3'!$H$2:$H$500)))+(SUMPRODUCT(--('Week 4'!$B$2:$B$500=$A35),--('Week 4'!$D$2:$D$500=$D$28),--('Week 4'!$C$2:$C$500&gt;'Week 4'!$E$2:$E$500))+SUMPRODUCT(--('Week 4'!$B$2:$B$500=$D$28),--('Week 4'!$D$2:$D$500=$A35),--('Week 4'!$E$2:$E$500&gt;'Week 4'!$C$2:$C$500)))+(SUMPRODUCT(--('Week 4'!$G$2:$G$500=$A35),--('Week 4'!$I$2:$I$500=$D$28),--('Week 4'!$H$2:$H$500&gt;'Week 4'!$J$2:$J$500))+SUMPRODUCT(--('Week 4'!$G$2:$G$500=$D$28),--('Week 4'!$I$2:$I$500=$A35),--('Week 4'!$J$2:$J$500&gt;'Week 4'!$H$2:$H$500)))+(SUMPRODUCT(--('Week 5'!$B$2:$B$500=$A35),--('Week 5'!$D$2:$D$500=$D$28),--('Week 5'!$C$2:$C$500&gt;'Week 5'!$E$2:$E$500))+SUMPRODUCT(--('Week 5'!$B$2:$B$500=$D$28),--('Week 5'!$D$2:$D$500=$A35),--('Week 5'!$E$2:$E$500&gt;'Week 5'!$C$2:$C$500)))+(SUMPRODUCT(--('Week 5'!$G$2:$G$500=$A35),--('Week 5'!$I$2:$I$500=$D$28),--('Week 5'!$H$2:$H$500&gt;'Week 5'!$J$2:$J$500))+SUMPRODUCT(--('Week 5'!$G$2:$G$500=$D$28),--('Week 5'!$I$2:$I$500=$A35),--('Week 5'!$J$2:$J$500&gt;'Week 5'!$H$2:$H$500)))+(SUMPRODUCT(--('Week 6'!$B$2:$B$500=$A35),--('Week 6'!$D$2:$D$500=$D$28),--('Week 6'!$C$2:$C$500&gt;'Week 6'!$E$2:$E$500))+SUMPRODUCT(--('Week 6'!$B$2:$B$500=$D$28),--('Week 6'!$D$2:$D$500=$A35),--('Week 6'!$E$2:$E$500&gt;'Week 6'!$C$2:$C$500)))+(SUMPRODUCT(--('Week 6'!$G$2:$G$500=$A35),--('Week 6'!$I$2:$I$500=$D$28),--('Week 6'!$H$2:$H$500&gt;'Week 6'!$J$2:$J$500))+SUMPRODUCT(--('Week 6'!$G$2:$G$500=$D$28),--('Week 6'!$I$2:$I$500=$A35),--('Week 6'!$J$2:$J$500&gt;'Week 6'!$H$2:$H$500)))</f>
        <v/>
      </c>
      <c r="E35">
        <f>(SUMPRODUCT(--('Week 1'!$B$2:$B$500=$A35),--('Week 1'!$D$2:$D$500=$E$28),--('Week 1'!$C$2:$C$500&gt;'Week 1'!$E$2:$E$500))+SUMPRODUCT(--('Week 1'!$B$2:$B$500=$E$28),--('Week 1'!$D$2:$D$500=$A35),--('Week 1'!$E$2:$E$500&gt;'Week 1'!$C$2:$C$500)))+(SUMPRODUCT(--('Week 1'!$G$2:$G$500=$A35),--('Week 1'!$I$2:$I$500=$E$28),--('Week 1'!$H$2:$H$500&gt;'Week 1'!$J$2:$J$500))+SUMPRODUCT(--('Week 1'!$G$2:$G$500=$E$28),--('Week 1'!$I$2:$I$500=$A35),--('Week 1'!$J$2:$J$500&gt;'Week 1'!$H$2:$H$500)))+(SUMPRODUCT(--('Week 2'!$B$2:$B$500=$A35),--('Week 2'!$D$2:$D$500=$E$28),--('Week 2'!$C$2:$C$500&gt;'Week 2'!$E$2:$E$500))+SUMPRODUCT(--('Week 2'!$B$2:$B$500=$E$28),--('Week 2'!$D$2:$D$500=$A35),--('Week 2'!$E$2:$E$500&gt;'Week 2'!$C$2:$C$500)))+(SUMPRODUCT(--('Week 2'!$G$2:$G$500=$A35),--('Week 2'!$I$2:$I$500=$E$28),--('Week 2'!$H$2:$H$500&gt;'Week 2'!$J$2:$J$500))+SUMPRODUCT(--('Week 2'!$G$2:$G$500=$E$28),--('Week 2'!$I$2:$I$500=$A35),--('Week 2'!$J$2:$J$500&gt;'Week 2'!$H$2:$H$500)))+(SUMPRODUCT(--('Week 3'!$B$2:$B$500=$A35),--('Week 3'!$D$2:$D$500=$E$28),--('Week 3'!$C$2:$C$500&gt;'Week 3'!$E$2:$E$500))+SUMPRODUCT(--('Week 3'!$B$2:$B$500=$E$28),--('Week 3'!$D$2:$D$500=$A35),--('Week 3'!$E$2:$E$500&gt;'Week 3'!$C$2:$C$500)))+(SUMPRODUCT(--('Week 3'!$G$2:$G$500=$A35),--('Week 3'!$I$2:$I$500=$E$28),--('Week 3'!$H$2:$H$500&gt;'Week 3'!$J$2:$J$500))+SUMPRODUCT(--('Week 3'!$G$2:$G$500=$E$28),--('Week 3'!$I$2:$I$500=$A35),--('Week 3'!$J$2:$J$500&gt;'Week 3'!$H$2:$H$500)))+(SUMPRODUCT(--('Week 4'!$B$2:$B$500=$A35),--('Week 4'!$D$2:$D$500=$E$28),--('Week 4'!$C$2:$C$500&gt;'Week 4'!$E$2:$E$500))+SUMPRODUCT(--('Week 4'!$B$2:$B$500=$E$28),--('Week 4'!$D$2:$D$500=$A35),--('Week 4'!$E$2:$E$500&gt;'Week 4'!$C$2:$C$500)))+(SUMPRODUCT(--('Week 4'!$G$2:$G$500=$A35),--('Week 4'!$I$2:$I$500=$E$28),--('Week 4'!$H$2:$H$500&gt;'Week 4'!$J$2:$J$500))+SUMPRODUCT(--('Week 4'!$G$2:$G$500=$E$28),--('Week 4'!$I$2:$I$500=$A35),--('Week 4'!$J$2:$J$500&gt;'Week 4'!$H$2:$H$500)))+(SUMPRODUCT(--('Week 5'!$B$2:$B$500=$A35),--('Week 5'!$D$2:$D$500=$E$28),--('Week 5'!$C$2:$C$500&gt;'Week 5'!$E$2:$E$500))+SUMPRODUCT(--('Week 5'!$B$2:$B$500=$E$28),--('Week 5'!$D$2:$D$500=$A35),--('Week 5'!$E$2:$E$500&gt;'Week 5'!$C$2:$C$500)))+(SUMPRODUCT(--('Week 5'!$G$2:$G$500=$A35),--('Week 5'!$I$2:$I$500=$E$28),--('Week 5'!$H$2:$H$500&gt;'Week 5'!$J$2:$J$500))+SUMPRODUCT(--('Week 5'!$G$2:$G$500=$E$28),--('Week 5'!$I$2:$I$500=$A35),--('Week 5'!$J$2:$J$500&gt;'Week 5'!$H$2:$H$500)))+(SUMPRODUCT(--('Week 6'!$B$2:$B$500=$A35),--('Week 6'!$D$2:$D$500=$E$28),--('Week 6'!$C$2:$C$500&gt;'Week 6'!$E$2:$E$500))+SUMPRODUCT(--('Week 6'!$B$2:$B$500=$E$28),--('Week 6'!$D$2:$D$500=$A35),--('Week 6'!$E$2:$E$500&gt;'Week 6'!$C$2:$C$500)))+(SUMPRODUCT(--('Week 6'!$G$2:$G$500=$A35),--('Week 6'!$I$2:$I$500=$E$28),--('Week 6'!$H$2:$H$500&gt;'Week 6'!$J$2:$J$500))+SUMPRODUCT(--('Week 6'!$G$2:$G$500=$E$28),--('Week 6'!$I$2:$I$500=$A35),--('Week 6'!$J$2:$J$500&gt;'Week 6'!$H$2:$H$500)))</f>
        <v/>
      </c>
      <c r="F35">
        <f>(SUMPRODUCT(--('Week 1'!$B$2:$B$500=$A35),--('Week 1'!$D$2:$D$500=$F$28),--('Week 1'!$C$2:$C$500&gt;'Week 1'!$E$2:$E$500))+SUMPRODUCT(--('Week 1'!$B$2:$B$500=$F$28),--('Week 1'!$D$2:$D$500=$A35),--('Week 1'!$E$2:$E$500&gt;'Week 1'!$C$2:$C$500)))+(SUMPRODUCT(--('Week 1'!$G$2:$G$500=$A35),--('Week 1'!$I$2:$I$500=$F$28),--('Week 1'!$H$2:$H$500&gt;'Week 1'!$J$2:$J$500))+SUMPRODUCT(--('Week 1'!$G$2:$G$500=$F$28),--('Week 1'!$I$2:$I$500=$A35),--('Week 1'!$J$2:$J$500&gt;'Week 1'!$H$2:$H$500)))+(SUMPRODUCT(--('Week 2'!$B$2:$B$500=$A35),--('Week 2'!$D$2:$D$500=$F$28),--('Week 2'!$C$2:$C$500&gt;'Week 2'!$E$2:$E$500))+SUMPRODUCT(--('Week 2'!$B$2:$B$500=$F$28),--('Week 2'!$D$2:$D$500=$A35),--('Week 2'!$E$2:$E$500&gt;'Week 2'!$C$2:$C$500)))+(SUMPRODUCT(--('Week 2'!$G$2:$G$500=$A35),--('Week 2'!$I$2:$I$500=$F$28),--('Week 2'!$H$2:$H$500&gt;'Week 2'!$J$2:$J$500))+SUMPRODUCT(--('Week 2'!$G$2:$G$500=$F$28),--('Week 2'!$I$2:$I$500=$A35),--('Week 2'!$J$2:$J$500&gt;'Week 2'!$H$2:$H$500)))+(SUMPRODUCT(--('Week 3'!$B$2:$B$500=$A35),--('Week 3'!$D$2:$D$500=$F$28),--('Week 3'!$C$2:$C$500&gt;'Week 3'!$E$2:$E$500))+SUMPRODUCT(--('Week 3'!$B$2:$B$500=$F$28),--('Week 3'!$D$2:$D$500=$A35),--('Week 3'!$E$2:$E$500&gt;'Week 3'!$C$2:$C$500)))+(SUMPRODUCT(--('Week 3'!$G$2:$G$500=$A35),--('Week 3'!$I$2:$I$500=$F$28),--('Week 3'!$H$2:$H$500&gt;'Week 3'!$J$2:$J$500))+SUMPRODUCT(--('Week 3'!$G$2:$G$500=$F$28),--('Week 3'!$I$2:$I$500=$A35),--('Week 3'!$J$2:$J$500&gt;'Week 3'!$H$2:$H$500)))+(SUMPRODUCT(--('Week 4'!$B$2:$B$500=$A35),--('Week 4'!$D$2:$D$500=$F$28),--('Week 4'!$C$2:$C$500&gt;'Week 4'!$E$2:$E$500))+SUMPRODUCT(--('Week 4'!$B$2:$B$500=$F$28),--('Week 4'!$D$2:$D$500=$A35),--('Week 4'!$E$2:$E$500&gt;'Week 4'!$C$2:$C$500)))+(SUMPRODUCT(--('Week 4'!$G$2:$G$500=$A35),--('Week 4'!$I$2:$I$500=$F$28),--('Week 4'!$H$2:$H$500&gt;'Week 4'!$J$2:$J$500))+SUMPRODUCT(--('Week 4'!$G$2:$G$500=$F$28),--('Week 4'!$I$2:$I$500=$A35),--('Week 4'!$J$2:$J$500&gt;'Week 4'!$H$2:$H$500)))+(SUMPRODUCT(--('Week 5'!$B$2:$B$500=$A35),--('Week 5'!$D$2:$D$500=$F$28),--('Week 5'!$C$2:$C$500&gt;'Week 5'!$E$2:$E$500))+SUMPRODUCT(--('Week 5'!$B$2:$B$500=$F$28),--('Week 5'!$D$2:$D$500=$A35),--('Week 5'!$E$2:$E$500&gt;'Week 5'!$C$2:$C$500)))+(SUMPRODUCT(--('Week 5'!$G$2:$G$500=$A35),--('Week 5'!$I$2:$I$500=$F$28),--('Week 5'!$H$2:$H$500&gt;'Week 5'!$J$2:$J$500))+SUMPRODUCT(--('Week 5'!$G$2:$G$500=$F$28),--('Week 5'!$I$2:$I$500=$A35),--('Week 5'!$J$2:$J$500&gt;'Week 5'!$H$2:$H$500)))+(SUMPRODUCT(--('Week 6'!$B$2:$B$500=$A35),--('Week 6'!$D$2:$D$500=$F$28),--('Week 6'!$C$2:$C$500&gt;'Week 6'!$E$2:$E$500))+SUMPRODUCT(--('Week 6'!$B$2:$B$500=$F$28),--('Week 6'!$D$2:$D$500=$A35),--('Week 6'!$E$2:$E$500&gt;'Week 6'!$C$2:$C$500)))+(SUMPRODUCT(--('Week 6'!$G$2:$G$500=$A35),--('Week 6'!$I$2:$I$500=$F$28),--('Week 6'!$H$2:$H$500&gt;'Week 6'!$J$2:$J$500))+SUMPRODUCT(--('Week 6'!$G$2:$G$500=$F$28),--('Week 6'!$I$2:$I$500=$A35),--('Week 6'!$J$2:$J$500&gt;'Week 6'!$H$2:$H$500)))</f>
        <v/>
      </c>
      <c r="G35">
        <f>(SUMPRODUCT(--('Week 1'!$B$2:$B$500=$A35),--('Week 1'!$D$2:$D$500=$G$28),--('Week 1'!$C$2:$C$500&gt;'Week 1'!$E$2:$E$500))+SUMPRODUCT(--('Week 1'!$B$2:$B$500=$G$28),--('Week 1'!$D$2:$D$500=$A35),--('Week 1'!$E$2:$E$500&gt;'Week 1'!$C$2:$C$500)))+(SUMPRODUCT(--('Week 1'!$G$2:$G$500=$A35),--('Week 1'!$I$2:$I$500=$G$28),--('Week 1'!$H$2:$H$500&gt;'Week 1'!$J$2:$J$500))+SUMPRODUCT(--('Week 1'!$G$2:$G$500=$G$28),--('Week 1'!$I$2:$I$500=$A35),--('Week 1'!$J$2:$J$500&gt;'Week 1'!$H$2:$H$500)))+(SUMPRODUCT(--('Week 2'!$B$2:$B$500=$A35),--('Week 2'!$D$2:$D$500=$G$28),--('Week 2'!$C$2:$C$500&gt;'Week 2'!$E$2:$E$500))+SUMPRODUCT(--('Week 2'!$B$2:$B$500=$G$28),--('Week 2'!$D$2:$D$500=$A35),--('Week 2'!$E$2:$E$500&gt;'Week 2'!$C$2:$C$500)))+(SUMPRODUCT(--('Week 2'!$G$2:$G$500=$A35),--('Week 2'!$I$2:$I$500=$G$28),--('Week 2'!$H$2:$H$500&gt;'Week 2'!$J$2:$J$500))+SUMPRODUCT(--('Week 2'!$G$2:$G$500=$G$28),--('Week 2'!$I$2:$I$500=$A35),--('Week 2'!$J$2:$J$500&gt;'Week 2'!$H$2:$H$500)))+(SUMPRODUCT(--('Week 3'!$B$2:$B$500=$A35),--('Week 3'!$D$2:$D$500=$G$28),--('Week 3'!$C$2:$C$500&gt;'Week 3'!$E$2:$E$500))+SUMPRODUCT(--('Week 3'!$B$2:$B$500=$G$28),--('Week 3'!$D$2:$D$500=$A35),--('Week 3'!$E$2:$E$500&gt;'Week 3'!$C$2:$C$500)))+(SUMPRODUCT(--('Week 3'!$G$2:$G$500=$A35),--('Week 3'!$I$2:$I$500=$G$28),--('Week 3'!$H$2:$H$500&gt;'Week 3'!$J$2:$J$500))+SUMPRODUCT(--('Week 3'!$G$2:$G$500=$G$28),--('Week 3'!$I$2:$I$500=$A35),--('Week 3'!$J$2:$J$500&gt;'Week 3'!$H$2:$H$500)))+(SUMPRODUCT(--('Week 4'!$B$2:$B$500=$A35),--('Week 4'!$D$2:$D$500=$G$28),--('Week 4'!$C$2:$C$500&gt;'Week 4'!$E$2:$E$500))+SUMPRODUCT(--('Week 4'!$B$2:$B$500=$G$28),--('Week 4'!$D$2:$D$500=$A35),--('Week 4'!$E$2:$E$500&gt;'Week 4'!$C$2:$C$500)))+(SUMPRODUCT(--('Week 4'!$G$2:$G$500=$A35),--('Week 4'!$I$2:$I$500=$G$28),--('Week 4'!$H$2:$H$500&gt;'Week 4'!$J$2:$J$500))+SUMPRODUCT(--('Week 4'!$G$2:$G$500=$G$28),--('Week 4'!$I$2:$I$500=$A35),--('Week 4'!$J$2:$J$500&gt;'Week 4'!$H$2:$H$500)))+(SUMPRODUCT(--('Week 5'!$B$2:$B$500=$A35),--('Week 5'!$D$2:$D$500=$G$28),--('Week 5'!$C$2:$C$500&gt;'Week 5'!$E$2:$E$500))+SUMPRODUCT(--('Week 5'!$B$2:$B$500=$G$28),--('Week 5'!$D$2:$D$500=$A35),--('Week 5'!$E$2:$E$500&gt;'Week 5'!$C$2:$C$500)))+(SUMPRODUCT(--('Week 5'!$G$2:$G$500=$A35),--('Week 5'!$I$2:$I$500=$G$28),--('Week 5'!$H$2:$H$500&gt;'Week 5'!$J$2:$J$500))+SUMPRODUCT(--('Week 5'!$G$2:$G$500=$G$28),--('Week 5'!$I$2:$I$500=$A35),--('Week 5'!$J$2:$J$500&gt;'Week 5'!$H$2:$H$500)))+(SUMPRODUCT(--('Week 6'!$B$2:$B$500=$A35),--('Week 6'!$D$2:$D$500=$G$28),--('Week 6'!$C$2:$C$500&gt;'Week 6'!$E$2:$E$500))+SUMPRODUCT(--('Week 6'!$B$2:$B$500=$G$28),--('Week 6'!$D$2:$D$500=$A35),--('Week 6'!$E$2:$E$500&gt;'Week 6'!$C$2:$C$500)))+(SUMPRODUCT(--('Week 6'!$G$2:$G$500=$A35),--('Week 6'!$I$2:$I$500=$G$28),--('Week 6'!$H$2:$H$500&gt;'Week 6'!$J$2:$J$500))+SUMPRODUCT(--('Week 6'!$G$2:$G$500=$G$28),--('Week 6'!$I$2:$I$500=$A35),--('Week 6'!$J$2:$J$500&gt;'Week 6'!$H$2:$H$500)))</f>
        <v/>
      </c>
      <c r="H35" t="inlineStr">
        <is>
          <t>—</t>
        </is>
      </c>
      <c r="I35">
        <f>(SUMPRODUCT(--('Week 1'!$B$2:$B$500=$A35),--('Week 1'!$D$2:$D$500=$I$28),--('Week 1'!$C$2:$C$500&gt;'Week 1'!$E$2:$E$500))+SUMPRODUCT(--('Week 1'!$B$2:$B$500=$I$28),--('Week 1'!$D$2:$D$500=$A35),--('Week 1'!$E$2:$E$500&gt;'Week 1'!$C$2:$C$500)))+(SUMPRODUCT(--('Week 1'!$G$2:$G$500=$A35),--('Week 1'!$I$2:$I$500=$I$28),--('Week 1'!$H$2:$H$500&gt;'Week 1'!$J$2:$J$500))+SUMPRODUCT(--('Week 1'!$G$2:$G$500=$I$28),--('Week 1'!$I$2:$I$500=$A35),--('Week 1'!$J$2:$J$500&gt;'Week 1'!$H$2:$H$500)))+(SUMPRODUCT(--('Week 2'!$B$2:$B$500=$A35),--('Week 2'!$D$2:$D$500=$I$28),--('Week 2'!$C$2:$C$500&gt;'Week 2'!$E$2:$E$500))+SUMPRODUCT(--('Week 2'!$B$2:$B$500=$I$28),--('Week 2'!$D$2:$D$500=$A35),--('Week 2'!$E$2:$E$500&gt;'Week 2'!$C$2:$C$500)))+(SUMPRODUCT(--('Week 2'!$G$2:$G$500=$A35),--('Week 2'!$I$2:$I$500=$I$28),--('Week 2'!$H$2:$H$500&gt;'Week 2'!$J$2:$J$500))+SUMPRODUCT(--('Week 2'!$G$2:$G$500=$I$28),--('Week 2'!$I$2:$I$500=$A35),--('Week 2'!$J$2:$J$500&gt;'Week 2'!$H$2:$H$500)))+(SUMPRODUCT(--('Week 3'!$B$2:$B$500=$A35),--('Week 3'!$D$2:$D$500=$I$28),--('Week 3'!$C$2:$C$500&gt;'Week 3'!$E$2:$E$500))+SUMPRODUCT(--('Week 3'!$B$2:$B$500=$I$28),--('Week 3'!$D$2:$D$500=$A35),--('Week 3'!$E$2:$E$500&gt;'Week 3'!$C$2:$C$500)))+(SUMPRODUCT(--('Week 3'!$G$2:$G$500=$A35),--('Week 3'!$I$2:$I$500=$I$28),--('Week 3'!$H$2:$H$500&gt;'Week 3'!$J$2:$J$500))+SUMPRODUCT(--('Week 3'!$G$2:$G$500=$I$28),--('Week 3'!$I$2:$I$500=$A35),--('Week 3'!$J$2:$J$500&gt;'Week 3'!$H$2:$H$500)))+(SUMPRODUCT(--('Week 4'!$B$2:$B$500=$A35),--('Week 4'!$D$2:$D$500=$I$28),--('Week 4'!$C$2:$C$500&gt;'Week 4'!$E$2:$E$500))+SUMPRODUCT(--('Week 4'!$B$2:$B$500=$I$28),--('Week 4'!$D$2:$D$500=$A35),--('Week 4'!$E$2:$E$500&gt;'Week 4'!$C$2:$C$500)))+(SUMPRODUCT(--('Week 4'!$G$2:$G$500=$A35),--('Week 4'!$I$2:$I$500=$I$28),--('Week 4'!$H$2:$H$500&gt;'Week 4'!$J$2:$J$500))+SUMPRODUCT(--('Week 4'!$G$2:$G$500=$I$28),--('Week 4'!$I$2:$I$500=$A35),--('Week 4'!$J$2:$J$500&gt;'Week 4'!$H$2:$H$500)))+(SUMPRODUCT(--('Week 5'!$B$2:$B$500=$A35),--('Week 5'!$D$2:$D$500=$I$28),--('Week 5'!$C$2:$C$500&gt;'Week 5'!$E$2:$E$500))+SUMPRODUCT(--('Week 5'!$B$2:$B$500=$I$28),--('Week 5'!$D$2:$D$500=$A35),--('Week 5'!$E$2:$E$500&gt;'Week 5'!$C$2:$C$500)))+(SUMPRODUCT(--('Week 5'!$G$2:$G$500=$A35),--('Week 5'!$I$2:$I$500=$I$28),--('Week 5'!$H$2:$H$500&gt;'Week 5'!$J$2:$J$500))+SUMPRODUCT(--('Week 5'!$G$2:$G$500=$I$28),--('Week 5'!$I$2:$I$500=$A35),--('Week 5'!$J$2:$J$500&gt;'Week 5'!$H$2:$H$500)))+(SUMPRODUCT(--('Week 6'!$B$2:$B$500=$A35),--('Week 6'!$D$2:$D$500=$I$28),--('Week 6'!$C$2:$C$500&gt;'Week 6'!$E$2:$E$500))+SUMPRODUCT(--('Week 6'!$B$2:$B$500=$I$28),--('Week 6'!$D$2:$D$500=$A35),--('Week 6'!$E$2:$E$500&gt;'Week 6'!$C$2:$C$500)))+(SUMPRODUCT(--('Week 6'!$G$2:$G$500=$A35),--('Week 6'!$I$2:$I$500=$I$28),--('Week 6'!$H$2:$H$500&gt;'Week 6'!$J$2:$J$500))+SUMPRODUCT(--('Week 6'!$G$2:$G$500=$I$28),--('Week 6'!$I$2:$I$500=$A35),--('Week 6'!$J$2:$J$500&gt;'Week 6'!$H$2:$H$500)))</f>
        <v/>
      </c>
    </row>
    <row r="36">
      <c r="A36" t="inlineStr">
        <is>
          <t>Team 8</t>
        </is>
      </c>
      <c r="B36">
        <f>(SUMPRODUCT(--('Week 1'!$B$2:$B$500=$A36),--('Week 1'!$D$2:$D$500=$B$28),--('Week 1'!$C$2:$C$500&gt;'Week 1'!$E$2:$E$500))+SUMPRODUCT(--('Week 1'!$B$2:$B$500=$B$28),--('Week 1'!$D$2:$D$500=$A36),--('Week 1'!$E$2:$E$500&gt;'Week 1'!$C$2:$C$500)))+(SUMPRODUCT(--('Week 1'!$G$2:$G$500=$A36),--('Week 1'!$I$2:$I$500=$B$28),--('Week 1'!$H$2:$H$500&gt;'Week 1'!$J$2:$J$500))+SUMPRODUCT(--('Week 1'!$G$2:$G$500=$B$28),--('Week 1'!$I$2:$I$500=$A36),--('Week 1'!$J$2:$J$500&gt;'Week 1'!$H$2:$H$500)))+(SUMPRODUCT(--('Week 2'!$B$2:$B$500=$A36),--('Week 2'!$D$2:$D$500=$B$28),--('Week 2'!$C$2:$C$500&gt;'Week 2'!$E$2:$E$500))+SUMPRODUCT(--('Week 2'!$B$2:$B$500=$B$28),--('Week 2'!$D$2:$D$500=$A36),--('Week 2'!$E$2:$E$500&gt;'Week 2'!$C$2:$C$500)))+(SUMPRODUCT(--('Week 2'!$G$2:$G$500=$A36),--('Week 2'!$I$2:$I$500=$B$28),--('Week 2'!$H$2:$H$500&gt;'Week 2'!$J$2:$J$500))+SUMPRODUCT(--('Week 2'!$G$2:$G$500=$B$28),--('Week 2'!$I$2:$I$500=$A36),--('Week 2'!$J$2:$J$500&gt;'Week 2'!$H$2:$H$500)))+(SUMPRODUCT(--('Week 3'!$B$2:$B$500=$A36),--('Week 3'!$D$2:$D$500=$B$28),--('Week 3'!$C$2:$C$500&gt;'Week 3'!$E$2:$E$500))+SUMPRODUCT(--('Week 3'!$B$2:$B$500=$B$28),--('Week 3'!$D$2:$D$500=$A36),--('Week 3'!$E$2:$E$500&gt;'Week 3'!$C$2:$C$500)))+(SUMPRODUCT(--('Week 3'!$G$2:$G$500=$A36),--('Week 3'!$I$2:$I$500=$B$28),--('Week 3'!$H$2:$H$500&gt;'Week 3'!$J$2:$J$500))+SUMPRODUCT(--('Week 3'!$G$2:$G$500=$B$28),--('Week 3'!$I$2:$I$500=$A36),--('Week 3'!$J$2:$J$500&gt;'Week 3'!$H$2:$H$500)))+(SUMPRODUCT(--('Week 4'!$B$2:$B$500=$A36),--('Week 4'!$D$2:$D$500=$B$28),--('Week 4'!$C$2:$C$500&gt;'Week 4'!$E$2:$E$500))+SUMPRODUCT(--('Week 4'!$B$2:$B$500=$B$28),--('Week 4'!$D$2:$D$500=$A36),--('Week 4'!$E$2:$E$500&gt;'Week 4'!$C$2:$C$500)))+(SUMPRODUCT(--('Week 4'!$G$2:$G$500=$A36),--('Week 4'!$I$2:$I$500=$B$28),--('Week 4'!$H$2:$H$500&gt;'Week 4'!$J$2:$J$500))+SUMPRODUCT(--('Week 4'!$G$2:$G$500=$B$28),--('Week 4'!$I$2:$I$500=$A36),--('Week 4'!$J$2:$J$500&gt;'Week 4'!$H$2:$H$500)))+(SUMPRODUCT(--('Week 5'!$B$2:$B$500=$A36),--('Week 5'!$D$2:$D$500=$B$28),--('Week 5'!$C$2:$C$500&gt;'Week 5'!$E$2:$E$500))+SUMPRODUCT(--('Week 5'!$B$2:$B$500=$B$28),--('Week 5'!$D$2:$D$500=$A36),--('Week 5'!$E$2:$E$500&gt;'Week 5'!$C$2:$C$500)))+(SUMPRODUCT(--('Week 5'!$G$2:$G$500=$A36),--('Week 5'!$I$2:$I$500=$B$28),--('Week 5'!$H$2:$H$500&gt;'Week 5'!$J$2:$J$500))+SUMPRODUCT(--('Week 5'!$G$2:$G$500=$B$28),--('Week 5'!$I$2:$I$500=$A36),--('Week 5'!$J$2:$J$500&gt;'Week 5'!$H$2:$H$500)))+(SUMPRODUCT(--('Week 6'!$B$2:$B$500=$A36),--('Week 6'!$D$2:$D$500=$B$28),--('Week 6'!$C$2:$C$500&gt;'Week 6'!$E$2:$E$500))+SUMPRODUCT(--('Week 6'!$B$2:$B$500=$B$28),--('Week 6'!$D$2:$D$500=$A36),--('Week 6'!$E$2:$E$500&gt;'Week 6'!$C$2:$C$500)))+(SUMPRODUCT(--('Week 6'!$G$2:$G$500=$A36),--('Week 6'!$I$2:$I$500=$B$28),--('Week 6'!$H$2:$H$500&gt;'Week 6'!$J$2:$J$500))+SUMPRODUCT(--('Week 6'!$G$2:$G$500=$B$28),--('Week 6'!$I$2:$I$500=$A36),--('Week 6'!$J$2:$J$500&gt;'Week 6'!$H$2:$H$500)))</f>
        <v/>
      </c>
      <c r="C36">
        <f>(SUMPRODUCT(--('Week 1'!$B$2:$B$500=$A36),--('Week 1'!$D$2:$D$500=$C$28),--('Week 1'!$C$2:$C$500&gt;'Week 1'!$E$2:$E$500))+SUMPRODUCT(--('Week 1'!$B$2:$B$500=$C$28),--('Week 1'!$D$2:$D$500=$A36),--('Week 1'!$E$2:$E$500&gt;'Week 1'!$C$2:$C$500)))+(SUMPRODUCT(--('Week 1'!$G$2:$G$500=$A36),--('Week 1'!$I$2:$I$500=$C$28),--('Week 1'!$H$2:$H$500&gt;'Week 1'!$J$2:$J$500))+SUMPRODUCT(--('Week 1'!$G$2:$G$500=$C$28),--('Week 1'!$I$2:$I$500=$A36),--('Week 1'!$J$2:$J$500&gt;'Week 1'!$H$2:$H$500)))+(SUMPRODUCT(--('Week 2'!$B$2:$B$500=$A36),--('Week 2'!$D$2:$D$500=$C$28),--('Week 2'!$C$2:$C$500&gt;'Week 2'!$E$2:$E$500))+SUMPRODUCT(--('Week 2'!$B$2:$B$500=$C$28),--('Week 2'!$D$2:$D$500=$A36),--('Week 2'!$E$2:$E$500&gt;'Week 2'!$C$2:$C$500)))+(SUMPRODUCT(--('Week 2'!$G$2:$G$500=$A36),--('Week 2'!$I$2:$I$500=$C$28),--('Week 2'!$H$2:$H$500&gt;'Week 2'!$J$2:$J$500))+SUMPRODUCT(--('Week 2'!$G$2:$G$500=$C$28),--('Week 2'!$I$2:$I$500=$A36),--('Week 2'!$J$2:$J$500&gt;'Week 2'!$H$2:$H$500)))+(SUMPRODUCT(--('Week 3'!$B$2:$B$500=$A36),--('Week 3'!$D$2:$D$500=$C$28),--('Week 3'!$C$2:$C$500&gt;'Week 3'!$E$2:$E$500))+SUMPRODUCT(--('Week 3'!$B$2:$B$500=$C$28),--('Week 3'!$D$2:$D$500=$A36),--('Week 3'!$E$2:$E$500&gt;'Week 3'!$C$2:$C$500)))+(SUMPRODUCT(--('Week 3'!$G$2:$G$500=$A36),--('Week 3'!$I$2:$I$500=$C$28),--('Week 3'!$H$2:$H$500&gt;'Week 3'!$J$2:$J$500))+SUMPRODUCT(--('Week 3'!$G$2:$G$500=$C$28),--('Week 3'!$I$2:$I$500=$A36),--('Week 3'!$J$2:$J$500&gt;'Week 3'!$H$2:$H$500)))+(SUMPRODUCT(--('Week 4'!$B$2:$B$500=$A36),--('Week 4'!$D$2:$D$500=$C$28),--('Week 4'!$C$2:$C$500&gt;'Week 4'!$E$2:$E$500))+SUMPRODUCT(--('Week 4'!$B$2:$B$500=$C$28),--('Week 4'!$D$2:$D$500=$A36),--('Week 4'!$E$2:$E$500&gt;'Week 4'!$C$2:$C$500)))+(SUMPRODUCT(--('Week 4'!$G$2:$G$500=$A36),--('Week 4'!$I$2:$I$500=$C$28),--('Week 4'!$H$2:$H$500&gt;'Week 4'!$J$2:$J$500))+SUMPRODUCT(--('Week 4'!$G$2:$G$500=$C$28),--('Week 4'!$I$2:$I$500=$A36),--('Week 4'!$J$2:$J$500&gt;'Week 4'!$H$2:$H$500)))+(SUMPRODUCT(--('Week 5'!$B$2:$B$500=$A36),--('Week 5'!$D$2:$D$500=$C$28),--('Week 5'!$C$2:$C$500&gt;'Week 5'!$E$2:$E$500))+SUMPRODUCT(--('Week 5'!$B$2:$B$500=$C$28),--('Week 5'!$D$2:$D$500=$A36),--('Week 5'!$E$2:$E$500&gt;'Week 5'!$C$2:$C$500)))+(SUMPRODUCT(--('Week 5'!$G$2:$G$500=$A36),--('Week 5'!$I$2:$I$500=$C$28),--('Week 5'!$H$2:$H$500&gt;'Week 5'!$J$2:$J$500))+SUMPRODUCT(--('Week 5'!$G$2:$G$500=$C$28),--('Week 5'!$I$2:$I$500=$A36),--('Week 5'!$J$2:$J$500&gt;'Week 5'!$H$2:$H$500)))+(SUMPRODUCT(--('Week 6'!$B$2:$B$500=$A36),--('Week 6'!$D$2:$D$500=$C$28),--('Week 6'!$C$2:$C$500&gt;'Week 6'!$E$2:$E$500))+SUMPRODUCT(--('Week 6'!$B$2:$B$500=$C$28),--('Week 6'!$D$2:$D$500=$A36),--('Week 6'!$E$2:$E$500&gt;'Week 6'!$C$2:$C$500)))+(SUMPRODUCT(--('Week 6'!$G$2:$G$500=$A36),--('Week 6'!$I$2:$I$500=$C$28),--('Week 6'!$H$2:$H$500&gt;'Week 6'!$J$2:$J$500))+SUMPRODUCT(--('Week 6'!$G$2:$G$500=$C$28),--('Week 6'!$I$2:$I$500=$A36),--('Week 6'!$J$2:$J$500&gt;'Week 6'!$H$2:$H$500)))</f>
        <v/>
      </c>
      <c r="D36">
        <f>(SUMPRODUCT(--('Week 1'!$B$2:$B$500=$A36),--('Week 1'!$D$2:$D$500=$D$28),--('Week 1'!$C$2:$C$500&gt;'Week 1'!$E$2:$E$500))+SUMPRODUCT(--('Week 1'!$B$2:$B$500=$D$28),--('Week 1'!$D$2:$D$500=$A36),--('Week 1'!$E$2:$E$500&gt;'Week 1'!$C$2:$C$500)))+(SUMPRODUCT(--('Week 1'!$G$2:$G$500=$A36),--('Week 1'!$I$2:$I$500=$D$28),--('Week 1'!$H$2:$H$500&gt;'Week 1'!$J$2:$J$500))+SUMPRODUCT(--('Week 1'!$G$2:$G$500=$D$28),--('Week 1'!$I$2:$I$500=$A36),--('Week 1'!$J$2:$J$500&gt;'Week 1'!$H$2:$H$500)))+(SUMPRODUCT(--('Week 2'!$B$2:$B$500=$A36),--('Week 2'!$D$2:$D$500=$D$28),--('Week 2'!$C$2:$C$500&gt;'Week 2'!$E$2:$E$500))+SUMPRODUCT(--('Week 2'!$B$2:$B$500=$D$28),--('Week 2'!$D$2:$D$500=$A36),--('Week 2'!$E$2:$E$500&gt;'Week 2'!$C$2:$C$500)))+(SUMPRODUCT(--('Week 2'!$G$2:$G$500=$A36),--('Week 2'!$I$2:$I$500=$D$28),--('Week 2'!$H$2:$H$500&gt;'Week 2'!$J$2:$J$500))+SUMPRODUCT(--('Week 2'!$G$2:$G$500=$D$28),--('Week 2'!$I$2:$I$500=$A36),--('Week 2'!$J$2:$J$500&gt;'Week 2'!$H$2:$H$500)))+(SUMPRODUCT(--('Week 3'!$B$2:$B$500=$A36),--('Week 3'!$D$2:$D$500=$D$28),--('Week 3'!$C$2:$C$500&gt;'Week 3'!$E$2:$E$500))+SUMPRODUCT(--('Week 3'!$B$2:$B$500=$D$28),--('Week 3'!$D$2:$D$500=$A36),--('Week 3'!$E$2:$E$500&gt;'Week 3'!$C$2:$C$500)))+(SUMPRODUCT(--('Week 3'!$G$2:$G$500=$A36),--('Week 3'!$I$2:$I$500=$D$28),--('Week 3'!$H$2:$H$500&gt;'Week 3'!$J$2:$J$500))+SUMPRODUCT(--('Week 3'!$G$2:$G$500=$D$28),--('Week 3'!$I$2:$I$500=$A36),--('Week 3'!$J$2:$J$500&gt;'Week 3'!$H$2:$H$500)))+(SUMPRODUCT(--('Week 4'!$B$2:$B$500=$A36),--('Week 4'!$D$2:$D$500=$D$28),--('Week 4'!$C$2:$C$500&gt;'Week 4'!$E$2:$E$500))+SUMPRODUCT(--('Week 4'!$B$2:$B$500=$D$28),--('Week 4'!$D$2:$D$500=$A36),--('Week 4'!$E$2:$E$500&gt;'Week 4'!$C$2:$C$500)))+(SUMPRODUCT(--('Week 4'!$G$2:$G$500=$A36),--('Week 4'!$I$2:$I$500=$D$28),--('Week 4'!$H$2:$H$500&gt;'Week 4'!$J$2:$J$500))+SUMPRODUCT(--('Week 4'!$G$2:$G$500=$D$28),--('Week 4'!$I$2:$I$500=$A36),--('Week 4'!$J$2:$J$500&gt;'Week 4'!$H$2:$H$500)))+(SUMPRODUCT(--('Week 5'!$B$2:$B$500=$A36),--('Week 5'!$D$2:$D$500=$D$28),--('Week 5'!$C$2:$C$500&gt;'Week 5'!$E$2:$E$500))+SUMPRODUCT(--('Week 5'!$B$2:$B$500=$D$28),--('Week 5'!$D$2:$D$500=$A36),--('Week 5'!$E$2:$E$500&gt;'Week 5'!$C$2:$C$500)))+(SUMPRODUCT(--('Week 5'!$G$2:$G$500=$A36),--('Week 5'!$I$2:$I$500=$D$28),--('Week 5'!$H$2:$H$500&gt;'Week 5'!$J$2:$J$500))+SUMPRODUCT(--('Week 5'!$G$2:$G$500=$D$28),--('Week 5'!$I$2:$I$500=$A36),--('Week 5'!$J$2:$J$500&gt;'Week 5'!$H$2:$H$500)))+(SUMPRODUCT(--('Week 6'!$B$2:$B$500=$A36),--('Week 6'!$D$2:$D$500=$D$28),--('Week 6'!$C$2:$C$500&gt;'Week 6'!$E$2:$E$500))+SUMPRODUCT(--('Week 6'!$B$2:$B$500=$D$28),--('Week 6'!$D$2:$D$500=$A36),--('Week 6'!$E$2:$E$500&gt;'Week 6'!$C$2:$C$500)))+(SUMPRODUCT(--('Week 6'!$G$2:$G$500=$A36),--('Week 6'!$I$2:$I$500=$D$28),--('Week 6'!$H$2:$H$500&gt;'Week 6'!$J$2:$J$500))+SUMPRODUCT(--('Week 6'!$G$2:$G$500=$D$28),--('Week 6'!$I$2:$I$500=$A36),--('Week 6'!$J$2:$J$500&gt;'Week 6'!$H$2:$H$500)))</f>
        <v/>
      </c>
      <c r="E36">
        <f>(SUMPRODUCT(--('Week 1'!$B$2:$B$500=$A36),--('Week 1'!$D$2:$D$500=$E$28),--('Week 1'!$C$2:$C$500&gt;'Week 1'!$E$2:$E$500))+SUMPRODUCT(--('Week 1'!$B$2:$B$500=$E$28),--('Week 1'!$D$2:$D$500=$A36),--('Week 1'!$E$2:$E$500&gt;'Week 1'!$C$2:$C$500)))+(SUMPRODUCT(--('Week 1'!$G$2:$G$500=$A36),--('Week 1'!$I$2:$I$500=$E$28),--('Week 1'!$H$2:$H$500&gt;'Week 1'!$J$2:$J$500))+SUMPRODUCT(--('Week 1'!$G$2:$G$500=$E$28),--('Week 1'!$I$2:$I$500=$A36),--('Week 1'!$J$2:$J$500&gt;'Week 1'!$H$2:$H$500)))+(SUMPRODUCT(--('Week 2'!$B$2:$B$500=$A36),--('Week 2'!$D$2:$D$500=$E$28),--('Week 2'!$C$2:$C$500&gt;'Week 2'!$E$2:$E$500))+SUMPRODUCT(--('Week 2'!$B$2:$B$500=$E$28),--('Week 2'!$D$2:$D$500=$A36),--('Week 2'!$E$2:$E$500&gt;'Week 2'!$C$2:$C$500)))+(SUMPRODUCT(--('Week 2'!$G$2:$G$500=$A36),--('Week 2'!$I$2:$I$500=$E$28),--('Week 2'!$H$2:$H$500&gt;'Week 2'!$J$2:$J$500))+SUMPRODUCT(--('Week 2'!$G$2:$G$500=$E$28),--('Week 2'!$I$2:$I$500=$A36),--('Week 2'!$J$2:$J$500&gt;'Week 2'!$H$2:$H$500)))+(SUMPRODUCT(--('Week 3'!$B$2:$B$500=$A36),--('Week 3'!$D$2:$D$500=$E$28),--('Week 3'!$C$2:$C$500&gt;'Week 3'!$E$2:$E$500))+SUMPRODUCT(--('Week 3'!$B$2:$B$500=$E$28),--('Week 3'!$D$2:$D$500=$A36),--('Week 3'!$E$2:$E$500&gt;'Week 3'!$C$2:$C$500)))+(SUMPRODUCT(--('Week 3'!$G$2:$G$500=$A36),--('Week 3'!$I$2:$I$500=$E$28),--('Week 3'!$H$2:$H$500&gt;'Week 3'!$J$2:$J$500))+SUMPRODUCT(--('Week 3'!$G$2:$G$500=$E$28),--('Week 3'!$I$2:$I$500=$A36),--('Week 3'!$J$2:$J$500&gt;'Week 3'!$H$2:$H$500)))+(SUMPRODUCT(--('Week 4'!$B$2:$B$500=$A36),--('Week 4'!$D$2:$D$500=$E$28),--('Week 4'!$C$2:$C$500&gt;'Week 4'!$E$2:$E$500))+SUMPRODUCT(--('Week 4'!$B$2:$B$500=$E$28),--('Week 4'!$D$2:$D$500=$A36),--('Week 4'!$E$2:$E$500&gt;'Week 4'!$C$2:$C$500)))+(SUMPRODUCT(--('Week 4'!$G$2:$G$500=$A36),--('Week 4'!$I$2:$I$500=$E$28),--('Week 4'!$H$2:$H$500&gt;'Week 4'!$J$2:$J$500))+SUMPRODUCT(--('Week 4'!$G$2:$G$500=$E$28),--('Week 4'!$I$2:$I$500=$A36),--('Week 4'!$J$2:$J$500&gt;'Week 4'!$H$2:$H$500)))+(SUMPRODUCT(--('Week 5'!$B$2:$B$500=$A36),--('Week 5'!$D$2:$D$500=$E$28),--('Week 5'!$C$2:$C$500&gt;'Week 5'!$E$2:$E$500))+SUMPRODUCT(--('Week 5'!$B$2:$B$500=$E$28),--('Week 5'!$D$2:$D$500=$A36),--('Week 5'!$E$2:$E$500&gt;'Week 5'!$C$2:$C$500)))+(SUMPRODUCT(--('Week 5'!$G$2:$G$500=$A36),--('Week 5'!$I$2:$I$500=$E$28),--('Week 5'!$H$2:$H$500&gt;'Week 5'!$J$2:$J$500))+SUMPRODUCT(--('Week 5'!$G$2:$G$500=$E$28),--('Week 5'!$I$2:$I$500=$A36),--('Week 5'!$J$2:$J$500&gt;'Week 5'!$H$2:$H$500)))+(SUMPRODUCT(--('Week 6'!$B$2:$B$500=$A36),--('Week 6'!$D$2:$D$500=$E$28),--('Week 6'!$C$2:$C$500&gt;'Week 6'!$E$2:$E$500))+SUMPRODUCT(--('Week 6'!$B$2:$B$500=$E$28),--('Week 6'!$D$2:$D$500=$A36),--('Week 6'!$E$2:$E$500&gt;'Week 6'!$C$2:$C$500)))+(SUMPRODUCT(--('Week 6'!$G$2:$G$500=$A36),--('Week 6'!$I$2:$I$500=$E$28),--('Week 6'!$H$2:$H$500&gt;'Week 6'!$J$2:$J$500))+SUMPRODUCT(--('Week 6'!$G$2:$G$500=$E$28),--('Week 6'!$I$2:$I$500=$A36),--('Week 6'!$J$2:$J$500&gt;'Week 6'!$H$2:$H$500)))</f>
        <v/>
      </c>
      <c r="F36">
        <f>(SUMPRODUCT(--('Week 1'!$B$2:$B$500=$A36),--('Week 1'!$D$2:$D$500=$F$28),--('Week 1'!$C$2:$C$500&gt;'Week 1'!$E$2:$E$500))+SUMPRODUCT(--('Week 1'!$B$2:$B$500=$F$28),--('Week 1'!$D$2:$D$500=$A36),--('Week 1'!$E$2:$E$500&gt;'Week 1'!$C$2:$C$500)))+(SUMPRODUCT(--('Week 1'!$G$2:$G$500=$A36),--('Week 1'!$I$2:$I$500=$F$28),--('Week 1'!$H$2:$H$500&gt;'Week 1'!$J$2:$J$500))+SUMPRODUCT(--('Week 1'!$G$2:$G$500=$F$28),--('Week 1'!$I$2:$I$500=$A36),--('Week 1'!$J$2:$J$500&gt;'Week 1'!$H$2:$H$500)))+(SUMPRODUCT(--('Week 2'!$B$2:$B$500=$A36),--('Week 2'!$D$2:$D$500=$F$28),--('Week 2'!$C$2:$C$500&gt;'Week 2'!$E$2:$E$500))+SUMPRODUCT(--('Week 2'!$B$2:$B$500=$F$28),--('Week 2'!$D$2:$D$500=$A36),--('Week 2'!$E$2:$E$500&gt;'Week 2'!$C$2:$C$500)))+(SUMPRODUCT(--('Week 2'!$G$2:$G$500=$A36),--('Week 2'!$I$2:$I$500=$F$28),--('Week 2'!$H$2:$H$500&gt;'Week 2'!$J$2:$J$500))+SUMPRODUCT(--('Week 2'!$G$2:$G$500=$F$28),--('Week 2'!$I$2:$I$500=$A36),--('Week 2'!$J$2:$J$500&gt;'Week 2'!$H$2:$H$500)))+(SUMPRODUCT(--('Week 3'!$B$2:$B$500=$A36),--('Week 3'!$D$2:$D$500=$F$28),--('Week 3'!$C$2:$C$500&gt;'Week 3'!$E$2:$E$500))+SUMPRODUCT(--('Week 3'!$B$2:$B$500=$F$28),--('Week 3'!$D$2:$D$500=$A36),--('Week 3'!$E$2:$E$500&gt;'Week 3'!$C$2:$C$500)))+(SUMPRODUCT(--('Week 3'!$G$2:$G$500=$A36),--('Week 3'!$I$2:$I$500=$F$28),--('Week 3'!$H$2:$H$500&gt;'Week 3'!$J$2:$J$500))+SUMPRODUCT(--('Week 3'!$G$2:$G$500=$F$28),--('Week 3'!$I$2:$I$500=$A36),--('Week 3'!$J$2:$J$500&gt;'Week 3'!$H$2:$H$500)))+(SUMPRODUCT(--('Week 4'!$B$2:$B$500=$A36),--('Week 4'!$D$2:$D$500=$F$28),--('Week 4'!$C$2:$C$500&gt;'Week 4'!$E$2:$E$500))+SUMPRODUCT(--('Week 4'!$B$2:$B$500=$F$28),--('Week 4'!$D$2:$D$500=$A36),--('Week 4'!$E$2:$E$500&gt;'Week 4'!$C$2:$C$500)))+(SUMPRODUCT(--('Week 4'!$G$2:$G$500=$A36),--('Week 4'!$I$2:$I$500=$F$28),--('Week 4'!$H$2:$H$500&gt;'Week 4'!$J$2:$J$500))+SUMPRODUCT(--('Week 4'!$G$2:$G$500=$F$28),--('Week 4'!$I$2:$I$500=$A36),--('Week 4'!$J$2:$J$500&gt;'Week 4'!$H$2:$H$500)))+(SUMPRODUCT(--('Week 5'!$B$2:$B$500=$A36),--('Week 5'!$D$2:$D$500=$F$28),--('Week 5'!$C$2:$C$500&gt;'Week 5'!$E$2:$E$500))+SUMPRODUCT(--('Week 5'!$B$2:$B$500=$F$28),--('Week 5'!$D$2:$D$500=$A36),--('Week 5'!$E$2:$E$500&gt;'Week 5'!$C$2:$C$500)))+(SUMPRODUCT(--('Week 5'!$G$2:$G$500=$A36),--('Week 5'!$I$2:$I$500=$F$28),--('Week 5'!$H$2:$H$500&gt;'Week 5'!$J$2:$J$500))+SUMPRODUCT(--('Week 5'!$G$2:$G$500=$F$28),--('Week 5'!$I$2:$I$500=$A36),--('Week 5'!$J$2:$J$500&gt;'Week 5'!$H$2:$H$500)))+(SUMPRODUCT(--('Week 6'!$B$2:$B$500=$A36),--('Week 6'!$D$2:$D$500=$F$28),--('Week 6'!$C$2:$C$500&gt;'Week 6'!$E$2:$E$500))+SUMPRODUCT(--('Week 6'!$B$2:$B$500=$F$28),--('Week 6'!$D$2:$D$500=$A36),--('Week 6'!$E$2:$E$500&gt;'Week 6'!$C$2:$C$500)))+(SUMPRODUCT(--('Week 6'!$G$2:$G$500=$A36),--('Week 6'!$I$2:$I$500=$F$28),--('Week 6'!$H$2:$H$500&gt;'Week 6'!$J$2:$J$500))+SUMPRODUCT(--('Week 6'!$G$2:$G$500=$F$28),--('Week 6'!$I$2:$I$500=$A36),--('Week 6'!$J$2:$J$500&gt;'Week 6'!$H$2:$H$500)))</f>
        <v/>
      </c>
      <c r="G36">
        <f>(SUMPRODUCT(--('Week 1'!$B$2:$B$500=$A36),--('Week 1'!$D$2:$D$500=$G$28),--('Week 1'!$C$2:$C$500&gt;'Week 1'!$E$2:$E$500))+SUMPRODUCT(--('Week 1'!$B$2:$B$500=$G$28),--('Week 1'!$D$2:$D$500=$A36),--('Week 1'!$E$2:$E$500&gt;'Week 1'!$C$2:$C$500)))+(SUMPRODUCT(--('Week 1'!$G$2:$G$500=$A36),--('Week 1'!$I$2:$I$500=$G$28),--('Week 1'!$H$2:$H$500&gt;'Week 1'!$J$2:$J$500))+SUMPRODUCT(--('Week 1'!$G$2:$G$500=$G$28),--('Week 1'!$I$2:$I$500=$A36),--('Week 1'!$J$2:$J$500&gt;'Week 1'!$H$2:$H$500)))+(SUMPRODUCT(--('Week 2'!$B$2:$B$500=$A36),--('Week 2'!$D$2:$D$500=$G$28),--('Week 2'!$C$2:$C$500&gt;'Week 2'!$E$2:$E$500))+SUMPRODUCT(--('Week 2'!$B$2:$B$500=$G$28),--('Week 2'!$D$2:$D$500=$A36),--('Week 2'!$E$2:$E$500&gt;'Week 2'!$C$2:$C$500)))+(SUMPRODUCT(--('Week 2'!$G$2:$G$500=$A36),--('Week 2'!$I$2:$I$500=$G$28),--('Week 2'!$H$2:$H$500&gt;'Week 2'!$J$2:$J$500))+SUMPRODUCT(--('Week 2'!$G$2:$G$500=$G$28),--('Week 2'!$I$2:$I$500=$A36),--('Week 2'!$J$2:$J$500&gt;'Week 2'!$H$2:$H$500)))+(SUMPRODUCT(--('Week 3'!$B$2:$B$500=$A36),--('Week 3'!$D$2:$D$500=$G$28),--('Week 3'!$C$2:$C$500&gt;'Week 3'!$E$2:$E$500))+SUMPRODUCT(--('Week 3'!$B$2:$B$500=$G$28),--('Week 3'!$D$2:$D$500=$A36),--('Week 3'!$E$2:$E$500&gt;'Week 3'!$C$2:$C$500)))+(SUMPRODUCT(--('Week 3'!$G$2:$G$500=$A36),--('Week 3'!$I$2:$I$500=$G$28),--('Week 3'!$H$2:$H$500&gt;'Week 3'!$J$2:$J$500))+SUMPRODUCT(--('Week 3'!$G$2:$G$500=$G$28),--('Week 3'!$I$2:$I$500=$A36),--('Week 3'!$J$2:$J$500&gt;'Week 3'!$H$2:$H$500)))+(SUMPRODUCT(--('Week 4'!$B$2:$B$500=$A36),--('Week 4'!$D$2:$D$500=$G$28),--('Week 4'!$C$2:$C$500&gt;'Week 4'!$E$2:$E$500))+SUMPRODUCT(--('Week 4'!$B$2:$B$500=$G$28),--('Week 4'!$D$2:$D$500=$A36),--('Week 4'!$E$2:$E$500&gt;'Week 4'!$C$2:$C$500)))+(SUMPRODUCT(--('Week 4'!$G$2:$G$500=$A36),--('Week 4'!$I$2:$I$500=$G$28),--('Week 4'!$H$2:$H$500&gt;'Week 4'!$J$2:$J$500))+SUMPRODUCT(--('Week 4'!$G$2:$G$500=$G$28),--('Week 4'!$I$2:$I$500=$A36),--('Week 4'!$J$2:$J$500&gt;'Week 4'!$H$2:$H$500)))+(SUMPRODUCT(--('Week 5'!$B$2:$B$500=$A36),--('Week 5'!$D$2:$D$500=$G$28),--('Week 5'!$C$2:$C$500&gt;'Week 5'!$E$2:$E$500))+SUMPRODUCT(--('Week 5'!$B$2:$B$500=$G$28),--('Week 5'!$D$2:$D$500=$A36),--('Week 5'!$E$2:$E$500&gt;'Week 5'!$C$2:$C$500)))+(SUMPRODUCT(--('Week 5'!$G$2:$G$500=$A36),--('Week 5'!$I$2:$I$500=$G$28),--('Week 5'!$H$2:$H$500&gt;'Week 5'!$J$2:$J$500))+SUMPRODUCT(--('Week 5'!$G$2:$G$500=$G$28),--('Week 5'!$I$2:$I$500=$A36),--('Week 5'!$J$2:$J$500&gt;'Week 5'!$H$2:$H$500)))+(SUMPRODUCT(--('Week 6'!$B$2:$B$500=$A36),--('Week 6'!$D$2:$D$500=$G$28),--('Week 6'!$C$2:$C$500&gt;'Week 6'!$E$2:$E$500))+SUMPRODUCT(--('Week 6'!$B$2:$B$500=$G$28),--('Week 6'!$D$2:$D$500=$A36),--('Week 6'!$E$2:$E$500&gt;'Week 6'!$C$2:$C$500)))+(SUMPRODUCT(--('Week 6'!$G$2:$G$500=$A36),--('Week 6'!$I$2:$I$500=$G$28),--('Week 6'!$H$2:$H$500&gt;'Week 6'!$J$2:$J$500))+SUMPRODUCT(--('Week 6'!$G$2:$G$500=$G$28),--('Week 6'!$I$2:$I$500=$A36),--('Week 6'!$J$2:$J$500&gt;'Week 6'!$H$2:$H$500)))</f>
        <v/>
      </c>
      <c r="H36">
        <f>(SUMPRODUCT(--('Week 1'!$B$2:$B$500=$A36),--('Week 1'!$D$2:$D$500=$H$28),--('Week 1'!$C$2:$C$500&gt;'Week 1'!$E$2:$E$500))+SUMPRODUCT(--('Week 1'!$B$2:$B$500=$H$28),--('Week 1'!$D$2:$D$500=$A36),--('Week 1'!$E$2:$E$500&gt;'Week 1'!$C$2:$C$500)))+(SUMPRODUCT(--('Week 1'!$G$2:$G$500=$A36),--('Week 1'!$I$2:$I$500=$H$28),--('Week 1'!$H$2:$H$500&gt;'Week 1'!$J$2:$J$500))+SUMPRODUCT(--('Week 1'!$G$2:$G$500=$H$28),--('Week 1'!$I$2:$I$500=$A36),--('Week 1'!$J$2:$J$500&gt;'Week 1'!$H$2:$H$500)))+(SUMPRODUCT(--('Week 2'!$B$2:$B$500=$A36),--('Week 2'!$D$2:$D$500=$H$28),--('Week 2'!$C$2:$C$500&gt;'Week 2'!$E$2:$E$500))+SUMPRODUCT(--('Week 2'!$B$2:$B$500=$H$28),--('Week 2'!$D$2:$D$500=$A36),--('Week 2'!$E$2:$E$500&gt;'Week 2'!$C$2:$C$500)))+(SUMPRODUCT(--('Week 2'!$G$2:$G$500=$A36),--('Week 2'!$I$2:$I$500=$H$28),--('Week 2'!$H$2:$H$500&gt;'Week 2'!$J$2:$J$500))+SUMPRODUCT(--('Week 2'!$G$2:$G$500=$H$28),--('Week 2'!$I$2:$I$500=$A36),--('Week 2'!$J$2:$J$500&gt;'Week 2'!$H$2:$H$500)))+(SUMPRODUCT(--('Week 3'!$B$2:$B$500=$A36),--('Week 3'!$D$2:$D$500=$H$28),--('Week 3'!$C$2:$C$500&gt;'Week 3'!$E$2:$E$500))+SUMPRODUCT(--('Week 3'!$B$2:$B$500=$H$28),--('Week 3'!$D$2:$D$500=$A36),--('Week 3'!$E$2:$E$500&gt;'Week 3'!$C$2:$C$500)))+(SUMPRODUCT(--('Week 3'!$G$2:$G$500=$A36),--('Week 3'!$I$2:$I$500=$H$28),--('Week 3'!$H$2:$H$500&gt;'Week 3'!$J$2:$J$500))+SUMPRODUCT(--('Week 3'!$G$2:$G$500=$H$28),--('Week 3'!$I$2:$I$500=$A36),--('Week 3'!$J$2:$J$500&gt;'Week 3'!$H$2:$H$500)))+(SUMPRODUCT(--('Week 4'!$B$2:$B$500=$A36),--('Week 4'!$D$2:$D$500=$H$28),--('Week 4'!$C$2:$C$500&gt;'Week 4'!$E$2:$E$500))+SUMPRODUCT(--('Week 4'!$B$2:$B$500=$H$28),--('Week 4'!$D$2:$D$500=$A36),--('Week 4'!$E$2:$E$500&gt;'Week 4'!$C$2:$C$500)))+(SUMPRODUCT(--('Week 4'!$G$2:$G$500=$A36),--('Week 4'!$I$2:$I$500=$H$28),--('Week 4'!$H$2:$H$500&gt;'Week 4'!$J$2:$J$500))+SUMPRODUCT(--('Week 4'!$G$2:$G$500=$H$28),--('Week 4'!$I$2:$I$500=$A36),--('Week 4'!$J$2:$J$500&gt;'Week 4'!$H$2:$H$500)))+(SUMPRODUCT(--('Week 5'!$B$2:$B$500=$A36),--('Week 5'!$D$2:$D$500=$H$28),--('Week 5'!$C$2:$C$500&gt;'Week 5'!$E$2:$E$500))+SUMPRODUCT(--('Week 5'!$B$2:$B$500=$H$28),--('Week 5'!$D$2:$D$500=$A36),--('Week 5'!$E$2:$E$500&gt;'Week 5'!$C$2:$C$500)))+(SUMPRODUCT(--('Week 5'!$G$2:$G$500=$A36),--('Week 5'!$I$2:$I$500=$H$28),--('Week 5'!$H$2:$H$500&gt;'Week 5'!$J$2:$J$500))+SUMPRODUCT(--('Week 5'!$G$2:$G$500=$H$28),--('Week 5'!$I$2:$I$500=$A36),--('Week 5'!$J$2:$J$500&gt;'Week 5'!$H$2:$H$500)))+(SUMPRODUCT(--('Week 6'!$B$2:$B$500=$A36),--('Week 6'!$D$2:$D$500=$H$28),--('Week 6'!$C$2:$C$500&gt;'Week 6'!$E$2:$E$500))+SUMPRODUCT(--('Week 6'!$B$2:$B$500=$H$28),--('Week 6'!$D$2:$D$500=$A36),--('Week 6'!$E$2:$E$500&gt;'Week 6'!$C$2:$C$500)))+(SUMPRODUCT(--('Week 6'!$G$2:$G$500=$A36),--('Week 6'!$I$2:$I$500=$H$28),--('Week 6'!$H$2:$H$500&gt;'Week 6'!$J$2:$J$500))+SUMPRODUCT(--('Week 6'!$G$2:$G$500=$H$28),--('Week 6'!$I$2:$I$500=$A36),--('Week 6'!$J$2:$J$500&gt;'Week 6'!$H$2:$H$500)))</f>
        <v/>
      </c>
      <c r="I36" t="inlineStr">
        <is>
          <t>—</t>
        </is>
      </c>
    </row>
    <row r="37"/>
    <row r="38"/>
    <row r="39"/>
    <row r="40"/>
    <row r="4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Court 1</t>
        </is>
      </c>
      <c r="G1" t="inlineStr">
        <is>
          <t>Court 2</t>
        </is>
      </c>
    </row>
    <row r="2">
      <c r="A2" t="inlineStr">
        <is>
          <t>Round 01</t>
        </is>
      </c>
      <c r="B2" t="inlineStr">
        <is>
          <t>Team 1</t>
        </is>
      </c>
      <c r="D2" t="inlineStr">
        <is>
          <t>Team 2</t>
        </is>
      </c>
      <c r="G2" t="inlineStr">
        <is>
          <t>Team 3</t>
        </is>
      </c>
      <c r="I2" t="inlineStr">
        <is>
          <t>Team 4</t>
        </is>
      </c>
    </row>
    <row r="3">
      <c r="B3" t="inlineStr">
        <is>
          <t>Ref</t>
        </is>
      </c>
      <c r="F3" t="inlineStr">
        <is>
          <t>Team 5</t>
        </is>
      </c>
      <c r="G3" t="inlineStr">
        <is>
          <t>Ref</t>
        </is>
      </c>
      <c r="K3" t="inlineStr">
        <is>
          <t>Team 6</t>
        </is>
      </c>
      <c r="L3" t="inlineStr">
        <is>
          <t>Off: Team 7, Team 8</t>
        </is>
      </c>
    </row>
    <row r="4">
      <c r="A4" t="inlineStr">
        <is>
          <t>Round 02</t>
        </is>
      </c>
      <c r="B4" t="inlineStr">
        <is>
          <t>Team 5</t>
        </is>
      </c>
      <c r="D4" t="inlineStr">
        <is>
          <t>Team 6</t>
        </is>
      </c>
      <c r="G4" t="inlineStr">
        <is>
          <t>Team 7</t>
        </is>
      </c>
      <c r="I4" t="inlineStr">
        <is>
          <t>Team 8</t>
        </is>
      </c>
    </row>
    <row r="5">
      <c r="B5" t="inlineStr">
        <is>
          <t>Ref</t>
        </is>
      </c>
      <c r="F5" t="inlineStr">
        <is>
          <t>Team 1</t>
        </is>
      </c>
      <c r="G5" t="inlineStr">
        <is>
          <t>Ref</t>
        </is>
      </c>
      <c r="K5" t="inlineStr">
        <is>
          <t>Team 2</t>
        </is>
      </c>
      <c r="L5" t="inlineStr">
        <is>
          <t>Off: Team 3, Team 4</t>
        </is>
      </c>
    </row>
    <row r="6">
      <c r="A6" t="inlineStr">
        <is>
          <t>Round 03</t>
        </is>
      </c>
      <c r="B6" t="inlineStr">
        <is>
          <t>Team 2</t>
        </is>
      </c>
      <c r="D6" t="inlineStr">
        <is>
          <t>Team 1</t>
        </is>
      </c>
      <c r="G6" t="inlineStr">
        <is>
          <t>Team 4</t>
        </is>
      </c>
      <c r="I6" t="inlineStr">
        <is>
          <t>Team 3</t>
        </is>
      </c>
    </row>
    <row r="7">
      <c r="B7" t="inlineStr">
        <is>
          <t>Ref</t>
        </is>
      </c>
      <c r="F7" t="inlineStr">
        <is>
          <t>Team 7</t>
        </is>
      </c>
      <c r="G7" t="inlineStr">
        <is>
          <t>Ref</t>
        </is>
      </c>
      <c r="K7" t="inlineStr">
        <is>
          <t>Team 8</t>
        </is>
      </c>
      <c r="L7" t="inlineStr">
        <is>
          <t>Off: Team 5, Team 6</t>
        </is>
      </c>
    </row>
    <row r="8">
      <c r="A8" t="inlineStr">
        <is>
          <t>Round 04</t>
        </is>
      </c>
      <c r="B8" t="inlineStr">
        <is>
          <t>Team 6</t>
        </is>
      </c>
      <c r="D8" t="inlineStr">
        <is>
          <t>Team 5</t>
        </is>
      </c>
      <c r="G8" t="inlineStr">
        <is>
          <t>Team 8</t>
        </is>
      </c>
      <c r="I8" t="inlineStr">
        <is>
          <t>Team 7</t>
        </is>
      </c>
    </row>
    <row r="9">
      <c r="B9" t="inlineStr">
        <is>
          <t>Ref</t>
        </is>
      </c>
      <c r="F9" t="inlineStr">
        <is>
          <t>Team 3</t>
        </is>
      </c>
      <c r="G9" t="inlineStr">
        <is>
          <t>Ref</t>
        </is>
      </c>
      <c r="K9" t="inlineStr">
        <is>
          <t>Team 4</t>
        </is>
      </c>
      <c r="L9" t="inlineStr">
        <is>
          <t>Off: Team 1, Team 2</t>
        </is>
      </c>
    </row>
    <row r="10">
      <c r="A10" t="inlineStr">
        <is>
          <t>Round 05</t>
        </is>
      </c>
      <c r="B10" t="inlineStr">
        <is>
          <t>Team 3</t>
        </is>
      </c>
      <c r="D10" t="inlineStr">
        <is>
          <t>Team 1</t>
        </is>
      </c>
      <c r="G10" t="inlineStr">
        <is>
          <t>Team 4</t>
        </is>
      </c>
      <c r="I10" t="inlineStr">
        <is>
          <t>Team 2</t>
        </is>
      </c>
    </row>
    <row r="11">
      <c r="B11" t="inlineStr">
        <is>
          <t>Ref</t>
        </is>
      </c>
      <c r="F11" t="inlineStr">
        <is>
          <t>Team 5</t>
        </is>
      </c>
      <c r="G11" t="inlineStr">
        <is>
          <t>Ref</t>
        </is>
      </c>
      <c r="K11" t="inlineStr">
        <is>
          <t>Team 6</t>
        </is>
      </c>
      <c r="L11" t="inlineStr">
        <is>
          <t>Off: Team 7, Team 8</t>
        </is>
      </c>
    </row>
    <row r="12">
      <c r="A12" t="inlineStr">
        <is>
          <t>Round 06</t>
        </is>
      </c>
      <c r="B12" t="inlineStr">
        <is>
          <t>Team 7</t>
        </is>
      </c>
      <c r="D12" t="inlineStr">
        <is>
          <t>Team 5</t>
        </is>
      </c>
      <c r="G12" t="inlineStr">
        <is>
          <t>Team 8</t>
        </is>
      </c>
      <c r="I12" t="inlineStr">
        <is>
          <t>Team 6</t>
        </is>
      </c>
    </row>
    <row r="13">
      <c r="B13" t="inlineStr">
        <is>
          <t>Ref</t>
        </is>
      </c>
      <c r="F13" t="inlineStr">
        <is>
          <t>Team 1</t>
        </is>
      </c>
      <c r="G13" t="inlineStr">
        <is>
          <t>Ref</t>
        </is>
      </c>
      <c r="K13" t="inlineStr">
        <is>
          <t>Team 2</t>
        </is>
      </c>
      <c r="L13" t="inlineStr">
        <is>
          <t>Off: Team 3, Team 4</t>
        </is>
      </c>
    </row>
    <row r="14">
      <c r="A14" t="inlineStr">
        <is>
          <t>Round 07</t>
        </is>
      </c>
      <c r="B14" t="inlineStr">
        <is>
          <t>Team 1</t>
        </is>
      </c>
      <c r="D14" t="inlineStr">
        <is>
          <t>Team 3</t>
        </is>
      </c>
      <c r="G14" t="inlineStr">
        <is>
          <t>Team 2</t>
        </is>
      </c>
      <c r="I14" t="inlineStr">
        <is>
          <t>Team 4</t>
        </is>
      </c>
    </row>
    <row r="15">
      <c r="B15" t="inlineStr">
        <is>
          <t>Ref</t>
        </is>
      </c>
      <c r="F15" t="inlineStr">
        <is>
          <t>Team 7</t>
        </is>
      </c>
      <c r="G15" t="inlineStr">
        <is>
          <t>Ref</t>
        </is>
      </c>
      <c r="K15" t="inlineStr">
        <is>
          <t>Team 8</t>
        </is>
      </c>
      <c r="L15" t="inlineStr">
        <is>
          <t>Off: Team 5, Team 6</t>
        </is>
      </c>
    </row>
    <row r="16">
      <c r="A16" t="inlineStr">
        <is>
          <t>Round 08</t>
        </is>
      </c>
      <c r="B16" t="inlineStr">
        <is>
          <t>Team 5</t>
        </is>
      </c>
      <c r="D16" t="inlineStr">
        <is>
          <t>Team 7</t>
        </is>
      </c>
      <c r="G16" t="inlineStr">
        <is>
          <t>Team 6</t>
        </is>
      </c>
      <c r="I16" t="inlineStr">
        <is>
          <t>Team 8</t>
        </is>
      </c>
    </row>
    <row r="17">
      <c r="B17" t="inlineStr">
        <is>
          <t>Ref</t>
        </is>
      </c>
      <c r="F17" t="inlineStr">
        <is>
          <t>Team 3</t>
        </is>
      </c>
      <c r="G17" t="inlineStr">
        <is>
          <t>Ref</t>
        </is>
      </c>
      <c r="K17" t="inlineStr">
        <is>
          <t>Team 4</t>
        </is>
      </c>
      <c r="L17" t="inlineStr">
        <is>
          <t>Off: Team 1, Team 2</t>
        </is>
      </c>
    </row>
    <row r="18">
      <c r="A18" t="inlineStr">
        <is>
          <t>Round 09</t>
        </is>
      </c>
      <c r="B18" t="inlineStr">
        <is>
          <t>Team 1</t>
        </is>
      </c>
      <c r="D18" t="inlineStr">
        <is>
          <t>Team 4</t>
        </is>
      </c>
      <c r="G18" t="inlineStr">
        <is>
          <t>Team 2</t>
        </is>
      </c>
      <c r="I18" t="inlineStr">
        <is>
          <t>Team 3</t>
        </is>
      </c>
    </row>
    <row r="19">
      <c r="B19" t="inlineStr">
        <is>
          <t>Ref</t>
        </is>
      </c>
      <c r="F19" t="inlineStr">
        <is>
          <t>Team 5</t>
        </is>
      </c>
      <c r="G19" t="inlineStr">
        <is>
          <t>Ref</t>
        </is>
      </c>
      <c r="K19" t="inlineStr">
        <is>
          <t>Team 6</t>
        </is>
      </c>
      <c r="L19" t="inlineStr">
        <is>
          <t>Off: Team 7, Team 8</t>
        </is>
      </c>
    </row>
    <row r="20">
      <c r="A20" t="inlineStr">
        <is>
          <t>Round 10</t>
        </is>
      </c>
      <c r="B20" t="inlineStr">
        <is>
          <t>Team 5</t>
        </is>
      </c>
      <c r="D20" t="inlineStr">
        <is>
          <t>Team 8</t>
        </is>
      </c>
      <c r="G20" t="inlineStr">
        <is>
          <t>Team 6</t>
        </is>
      </c>
      <c r="I20" t="inlineStr">
        <is>
          <t>Team 7</t>
        </is>
      </c>
    </row>
    <row r="21">
      <c r="B21" t="inlineStr">
        <is>
          <t>Ref</t>
        </is>
      </c>
      <c r="F21" t="inlineStr">
        <is>
          <t>Team 1</t>
        </is>
      </c>
      <c r="G21" t="inlineStr">
        <is>
          <t>Ref</t>
        </is>
      </c>
      <c r="K21" t="inlineStr">
        <is>
          <t>Team 2</t>
        </is>
      </c>
      <c r="L21" t="inlineStr">
        <is>
          <t>Off: Team 3, Team 4</t>
        </is>
      </c>
    </row>
    <row r="22">
      <c r="A22" t="inlineStr">
        <is>
          <t>Round 11</t>
        </is>
      </c>
      <c r="B22" t="inlineStr">
        <is>
          <t>Team 4</t>
        </is>
      </c>
      <c r="D22" t="inlineStr">
        <is>
          <t>Team 1</t>
        </is>
      </c>
      <c r="G22" t="inlineStr">
        <is>
          <t>Team 3</t>
        </is>
      </c>
      <c r="I22" t="inlineStr">
        <is>
          <t>Team 2</t>
        </is>
      </c>
    </row>
    <row r="23">
      <c r="B23" t="inlineStr">
        <is>
          <t>Ref</t>
        </is>
      </c>
      <c r="F23" t="inlineStr">
        <is>
          <t>Team 7</t>
        </is>
      </c>
      <c r="G23" t="inlineStr">
        <is>
          <t>Ref</t>
        </is>
      </c>
      <c r="K23" t="inlineStr">
        <is>
          <t>Team 8</t>
        </is>
      </c>
      <c r="L23" t="inlineStr">
        <is>
          <t>Off: Team 5, Team 6</t>
        </is>
      </c>
    </row>
    <row r="24">
      <c r="A24" t="inlineStr">
        <is>
          <t>Round 12</t>
        </is>
      </c>
      <c r="B24" t="inlineStr">
        <is>
          <t>Team 8</t>
        </is>
      </c>
      <c r="D24" t="inlineStr">
        <is>
          <t>Team 5</t>
        </is>
      </c>
      <c r="G24" t="inlineStr">
        <is>
          <t>Team 7</t>
        </is>
      </c>
      <c r="I24" t="inlineStr">
        <is>
          <t>Team 6</t>
        </is>
      </c>
    </row>
    <row r="25">
      <c r="B25" t="inlineStr">
        <is>
          <t>Ref</t>
        </is>
      </c>
      <c r="F25" t="inlineStr">
        <is>
          <t>Team 3</t>
        </is>
      </c>
      <c r="G25" t="inlineStr">
        <is>
          <t>Ref</t>
        </is>
      </c>
      <c r="K25" t="inlineStr">
        <is>
          <t>Team 4</t>
        </is>
      </c>
      <c r="L25" t="inlineStr">
        <is>
          <t>Off: Team 1, Team 2</t>
        </is>
      </c>
    </row>
    <row r="26">
      <c r="A26" t="inlineStr">
        <is>
          <t>Round 13</t>
        </is>
      </c>
      <c r="B26" t="inlineStr">
        <is>
          <t>Team 1</t>
        </is>
      </c>
      <c r="D26" t="inlineStr">
        <is>
          <t>Team 5</t>
        </is>
      </c>
      <c r="G26" t="inlineStr">
        <is>
          <t>Team 2</t>
        </is>
      </c>
      <c r="I26" t="inlineStr">
        <is>
          <t>Team 6</t>
        </is>
      </c>
    </row>
    <row r="27">
      <c r="B27" t="inlineStr">
        <is>
          <t>Ref</t>
        </is>
      </c>
      <c r="F27" t="inlineStr">
        <is>
          <t>Team 3</t>
        </is>
      </c>
      <c r="G27" t="inlineStr">
        <is>
          <t>Ref</t>
        </is>
      </c>
      <c r="K27" t="inlineStr">
        <is>
          <t>Team 4</t>
        </is>
      </c>
      <c r="L27" t="inlineStr">
        <is>
          <t>Off: Team 7, Team 8</t>
        </is>
      </c>
    </row>
    <row r="28">
      <c r="A28" t="inlineStr">
        <is>
          <t>Round 14</t>
        </is>
      </c>
      <c r="B28" t="inlineStr">
        <is>
          <t>Team 3</t>
        </is>
      </c>
      <c r="D28" t="inlineStr">
        <is>
          <t>Team 7</t>
        </is>
      </c>
      <c r="G28" t="inlineStr">
        <is>
          <t>Team 4</t>
        </is>
      </c>
      <c r="I28" t="inlineStr">
        <is>
          <t>Team 8</t>
        </is>
      </c>
    </row>
    <row r="29">
      <c r="B29" t="inlineStr">
        <is>
          <t>Ref</t>
        </is>
      </c>
      <c r="F29" t="inlineStr">
        <is>
          <t>Team 1</t>
        </is>
      </c>
      <c r="G29" t="inlineStr">
        <is>
          <t>Ref</t>
        </is>
      </c>
      <c r="K29" t="inlineStr">
        <is>
          <t>Team 2</t>
        </is>
      </c>
      <c r="L29" t="inlineStr">
        <is>
          <t>Off: Team 5, Team 6</t>
        </is>
      </c>
    </row>
    <row r="30">
      <c r="A30" t="inlineStr">
        <is>
          <t>Round 15</t>
        </is>
      </c>
      <c r="B30" t="inlineStr">
        <is>
          <t>Team 6</t>
        </is>
      </c>
      <c r="D30" t="inlineStr">
        <is>
          <t>Team 1</t>
        </is>
      </c>
      <c r="G30" t="inlineStr">
        <is>
          <t>Team 5</t>
        </is>
      </c>
      <c r="I30" t="inlineStr">
        <is>
          <t>Team 2</t>
        </is>
      </c>
    </row>
    <row r="31">
      <c r="B31" t="inlineStr">
        <is>
          <t>Ref</t>
        </is>
      </c>
      <c r="F31" t="inlineStr">
        <is>
          <t>Team 7</t>
        </is>
      </c>
      <c r="G31" t="inlineStr">
        <is>
          <t>Ref</t>
        </is>
      </c>
      <c r="K31" t="inlineStr">
        <is>
          <t>Team 8</t>
        </is>
      </c>
      <c r="L31" t="inlineStr">
        <is>
          <t>Off: Team 3, Team 4</t>
        </is>
      </c>
    </row>
    <row r="32">
      <c r="A32" t="inlineStr">
        <is>
          <t>Round 16</t>
        </is>
      </c>
      <c r="B32" t="inlineStr">
        <is>
          <t>Team 8</t>
        </is>
      </c>
      <c r="D32" t="inlineStr">
        <is>
          <t>Team 3</t>
        </is>
      </c>
      <c r="G32" t="inlineStr">
        <is>
          <t>Team 7</t>
        </is>
      </c>
      <c r="I32" t="inlineStr">
        <is>
          <t>Team 4</t>
        </is>
      </c>
    </row>
    <row r="33">
      <c r="B33" t="inlineStr">
        <is>
          <t>Ref</t>
        </is>
      </c>
      <c r="F33" t="inlineStr">
        <is>
          <t>Team 5</t>
        </is>
      </c>
      <c r="G33" t="inlineStr">
        <is>
          <t>Ref</t>
        </is>
      </c>
      <c r="K33" t="inlineStr">
        <is>
          <t>Team 6</t>
        </is>
      </c>
      <c r="L33" t="inlineStr">
        <is>
          <t>Off: Team 1, Team 2</t>
        </is>
      </c>
    </row>
    <row r="34">
      <c r="A34" t="inlineStr">
        <is>
          <t>Round 17</t>
        </is>
      </c>
      <c r="B34" t="inlineStr">
        <is>
          <t>Team 1</t>
        </is>
      </c>
      <c r="D34" t="inlineStr">
        <is>
          <t>Team 7</t>
        </is>
      </c>
      <c r="G34" t="inlineStr">
        <is>
          <t>Team 2</t>
        </is>
      </c>
      <c r="I34" t="inlineStr">
        <is>
          <t>Team 8</t>
        </is>
      </c>
    </row>
    <row r="35">
      <c r="B35" t="inlineStr">
        <is>
          <t>Ref</t>
        </is>
      </c>
      <c r="F35" t="inlineStr">
        <is>
          <t>Team 3</t>
        </is>
      </c>
      <c r="G35" t="inlineStr">
        <is>
          <t>Ref</t>
        </is>
      </c>
      <c r="K35" t="inlineStr">
        <is>
          <t>Team 4</t>
        </is>
      </c>
      <c r="L35" t="inlineStr">
        <is>
          <t>Off: Team 5, Team 6</t>
        </is>
      </c>
    </row>
    <row r="36">
      <c r="A36" t="inlineStr">
        <is>
          <t>Round 18</t>
        </is>
      </c>
      <c r="B36" t="inlineStr">
        <is>
          <t>Team 3</t>
        </is>
      </c>
      <c r="D36" t="inlineStr">
        <is>
          <t>Team 5</t>
        </is>
      </c>
      <c r="G36" t="inlineStr">
        <is>
          <t>Team 4</t>
        </is>
      </c>
      <c r="I36" t="inlineStr">
        <is>
          <t>Team 6</t>
        </is>
      </c>
    </row>
    <row r="37">
      <c r="B37" t="inlineStr">
        <is>
          <t>Ref</t>
        </is>
      </c>
      <c r="F37" t="inlineStr">
        <is>
          <t>Team 1</t>
        </is>
      </c>
      <c r="G37" t="inlineStr">
        <is>
          <t>Ref</t>
        </is>
      </c>
      <c r="K37" t="inlineStr">
        <is>
          <t>Team 2</t>
        </is>
      </c>
      <c r="L37" t="inlineStr">
        <is>
          <t>Off: Team 7, Team 8</t>
        </is>
      </c>
    </row>
    <row r="38">
      <c r="A38" t="inlineStr">
        <is>
          <t>Round 19</t>
        </is>
      </c>
      <c r="B38" t="inlineStr">
        <is>
          <t>Team 8</t>
        </is>
      </c>
      <c r="D38" t="inlineStr">
        <is>
          <t>Team 1</t>
        </is>
      </c>
      <c r="G38" t="inlineStr">
        <is>
          <t>Team 7</t>
        </is>
      </c>
      <c r="I38" t="inlineStr">
        <is>
          <t>Team 2</t>
        </is>
      </c>
    </row>
    <row r="39">
      <c r="B39" t="inlineStr">
        <is>
          <t>Ref</t>
        </is>
      </c>
      <c r="F39" t="inlineStr">
        <is>
          <t>Team 5</t>
        </is>
      </c>
      <c r="G39" t="inlineStr">
        <is>
          <t>Ref</t>
        </is>
      </c>
      <c r="K39" t="inlineStr">
        <is>
          <t>Team 6</t>
        </is>
      </c>
      <c r="L39" t="inlineStr">
        <is>
          <t>Off: Team 3, Team 4</t>
        </is>
      </c>
    </row>
    <row r="40">
      <c r="A40" t="inlineStr">
        <is>
          <t>Round 20</t>
        </is>
      </c>
      <c r="B40" t="inlineStr">
        <is>
          <t>Team 6</t>
        </is>
      </c>
      <c r="D40" t="inlineStr">
        <is>
          <t>Team 3</t>
        </is>
      </c>
      <c r="G40" t="inlineStr">
        <is>
          <t>Team 5</t>
        </is>
      </c>
      <c r="I40" t="inlineStr">
        <is>
          <t>Team 4</t>
        </is>
      </c>
    </row>
    <row r="41">
      <c r="B41" t="inlineStr">
        <is>
          <t>Ref</t>
        </is>
      </c>
      <c r="F41" t="inlineStr">
        <is>
          <t>Team 7</t>
        </is>
      </c>
      <c r="G41" t="inlineStr">
        <is>
          <t>Ref</t>
        </is>
      </c>
      <c r="K41" t="inlineStr">
        <is>
          <t>Team 8</t>
        </is>
      </c>
      <c r="L41" t="inlineStr">
        <is>
          <t>Off: Team 1, Team 2</t>
        </is>
      </c>
    </row>
    <row r="42">
      <c r="A42" t="inlineStr">
        <is>
          <t>Team Wins/Losses This Week</t>
        </is>
      </c>
    </row>
    <row r="43">
      <c r="A43" t="inlineStr">
        <is>
          <t>Team Name</t>
        </is>
      </c>
      <c r="B43" t="inlineStr">
        <is>
          <t>Wins</t>
        </is>
      </c>
      <c r="C43" t="inlineStr">
        <is>
          <t>Losses</t>
        </is>
      </c>
    </row>
    <row r="44">
      <c r="A44" t="inlineStr">
        <is>
          <t>Team 1</t>
        </is>
      </c>
      <c r="B44">
        <f>SUMIFS(C:C,B:B,"Team 1*")+SUMIFS(E:E,D:D,"Team 1*")+SUMIFS(H:H,G:G,"Team 1*")+SUMIFS(J:J,I:I,"Team 1*")</f>
        <v/>
      </c>
      <c r="C44">
        <f>SUMIFS(E:E,B:B,"Team 1*")+SUMIFS(C:C,D:D,"Team 1*")+SUMIFS(J:J,G:G,"Team 1*")+SUMIFS(H:H,I:I,"Team 1*")</f>
        <v/>
      </c>
    </row>
    <row r="45">
      <c r="A45" t="inlineStr">
        <is>
          <t>Team 2</t>
        </is>
      </c>
      <c r="B45">
        <f>SUMIFS(C:C,B:B,"Team 2*")+SUMIFS(E:E,D:D,"Team 2*")+SUMIFS(H:H,G:G,"Team 2*")+SUMIFS(J:J,I:I,"Team 2*")</f>
        <v/>
      </c>
      <c r="C45">
        <f>SUMIFS(E:E,B:B,"Team 2*")+SUMIFS(C:C,D:D,"Team 2*")+SUMIFS(J:J,G:G,"Team 2*")+SUMIFS(H:H,I:I,"Team 2*")</f>
        <v/>
      </c>
    </row>
    <row r="46">
      <c r="A46" t="inlineStr">
        <is>
          <t>Team 3</t>
        </is>
      </c>
      <c r="B46">
        <f>SUMIFS(C:C,B:B,"Team 3*")+SUMIFS(E:E,D:D,"Team 3*")+SUMIFS(H:H,G:G,"Team 3*")+SUMIFS(J:J,I:I,"Team 3*")</f>
        <v/>
      </c>
      <c r="C46">
        <f>SUMIFS(E:E,B:B,"Team 3*")+SUMIFS(C:C,D:D,"Team 3*")+SUMIFS(J:J,G:G,"Team 3*")+SUMIFS(H:H,I:I,"Team 3*")</f>
        <v/>
      </c>
    </row>
    <row r="47">
      <c r="A47" t="inlineStr">
        <is>
          <t>Team 4</t>
        </is>
      </c>
      <c r="B47">
        <f>SUMIFS(C:C,B:B,"Team 4*")+SUMIFS(E:E,D:D,"Team 4*")+SUMIFS(H:H,G:G,"Team 4*")+SUMIFS(J:J,I:I,"Team 4*")</f>
        <v/>
      </c>
      <c r="C47">
        <f>SUMIFS(E:E,B:B,"Team 4*")+SUMIFS(C:C,D:D,"Team 4*")+SUMIFS(J:J,G:G,"Team 4*")+SUMIFS(H:H,I:I,"Team 4*")</f>
        <v/>
      </c>
    </row>
    <row r="48">
      <c r="A48" t="inlineStr">
        <is>
          <t>Team 5</t>
        </is>
      </c>
      <c r="B48">
        <f>SUMIFS(C:C,B:B,"Team 5*")+SUMIFS(E:E,D:D,"Team 5*")+SUMIFS(H:H,G:G,"Team 5*")+SUMIFS(J:J,I:I,"Team 5*")</f>
        <v/>
      </c>
      <c r="C48">
        <f>SUMIFS(E:E,B:B,"Team 5*")+SUMIFS(C:C,D:D,"Team 5*")+SUMIFS(J:J,G:G,"Team 5*")+SUMIFS(H:H,I:I,"Team 5*")</f>
        <v/>
      </c>
    </row>
    <row r="49">
      <c r="A49" t="inlineStr">
        <is>
          <t>Team 6</t>
        </is>
      </c>
      <c r="B49">
        <f>SUMIFS(C:C,B:B,"Team 6*")+SUMIFS(E:E,D:D,"Team 6*")+SUMIFS(H:H,G:G,"Team 6*")+SUMIFS(J:J,I:I,"Team 6*")</f>
        <v/>
      </c>
      <c r="C49">
        <f>SUMIFS(E:E,B:B,"Team 6*")+SUMIFS(C:C,D:D,"Team 6*")+SUMIFS(J:J,G:G,"Team 6*")+SUMIFS(H:H,I:I,"Team 6*")</f>
        <v/>
      </c>
    </row>
    <row r="50">
      <c r="A50" t="inlineStr">
        <is>
          <t>Team 7</t>
        </is>
      </c>
      <c r="B50">
        <f>SUMIFS(C:C,B:B,"Team 7*")+SUMIFS(E:E,D:D,"Team 7*")+SUMIFS(H:H,G:G,"Team 7*")+SUMIFS(J:J,I:I,"Team 7*")</f>
        <v/>
      </c>
      <c r="C50">
        <f>SUMIFS(E:E,B:B,"Team 7*")+SUMIFS(C:C,D:D,"Team 7*")+SUMIFS(J:J,G:G,"Team 7*")+SUMIFS(H:H,I:I,"Team 7*")</f>
        <v/>
      </c>
    </row>
    <row r="51">
      <c r="A51" t="inlineStr">
        <is>
          <t>Team 8</t>
        </is>
      </c>
      <c r="B51">
        <f>SUMIFS(C:C,B:B,"Team 8*")+SUMIFS(E:E,D:D,"Team 8*")+SUMIFS(H:H,G:G,"Team 8*")+SUMIFS(J:J,I:I,"Team 8*")</f>
        <v/>
      </c>
      <c r="C51">
        <f>SUMIFS(E:E,B:B,"Team 8*")+SUMIFS(C:C,D:D,"Team 8*")+SUMIFS(J:J,G:G,"Team 8*")+SUMIFS(H:H,I:I,"Team 8*")</f>
        <v/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Court 1</t>
        </is>
      </c>
      <c r="G1" t="inlineStr">
        <is>
          <t>Court 2</t>
        </is>
      </c>
    </row>
    <row r="2">
      <c r="A2" t="inlineStr">
        <is>
          <t>Round 01</t>
        </is>
      </c>
      <c r="B2" t="inlineStr">
        <is>
          <t>Team 1</t>
        </is>
      </c>
      <c r="D2" t="inlineStr">
        <is>
          <t>Team 2</t>
        </is>
      </c>
      <c r="G2" t="inlineStr">
        <is>
          <t>Team 3</t>
        </is>
      </c>
      <c r="I2" t="inlineStr">
        <is>
          <t>Team 4</t>
        </is>
      </c>
    </row>
    <row r="3">
      <c r="B3" t="inlineStr">
        <is>
          <t>Ref</t>
        </is>
      </c>
      <c r="F3" t="inlineStr">
        <is>
          <t>Team 5</t>
        </is>
      </c>
      <c r="G3" t="inlineStr">
        <is>
          <t>Ref</t>
        </is>
      </c>
      <c r="K3" t="inlineStr">
        <is>
          <t>Team 6</t>
        </is>
      </c>
      <c r="L3" t="inlineStr">
        <is>
          <t>Off: Team 7, Team 8</t>
        </is>
      </c>
    </row>
    <row r="4">
      <c r="A4" t="inlineStr">
        <is>
          <t>Round 02</t>
        </is>
      </c>
      <c r="B4" t="inlineStr">
        <is>
          <t>Team 5</t>
        </is>
      </c>
      <c r="D4" t="inlineStr">
        <is>
          <t>Team 6</t>
        </is>
      </c>
      <c r="G4" t="inlineStr">
        <is>
          <t>Team 7</t>
        </is>
      </c>
      <c r="I4" t="inlineStr">
        <is>
          <t>Team 8</t>
        </is>
      </c>
    </row>
    <row r="5">
      <c r="B5" t="inlineStr">
        <is>
          <t>Ref</t>
        </is>
      </c>
      <c r="F5" t="inlineStr">
        <is>
          <t>Team 1</t>
        </is>
      </c>
      <c r="G5" t="inlineStr">
        <is>
          <t>Ref</t>
        </is>
      </c>
      <c r="K5" t="inlineStr">
        <is>
          <t>Team 2</t>
        </is>
      </c>
      <c r="L5" t="inlineStr">
        <is>
          <t>Off: Team 3, Team 4</t>
        </is>
      </c>
    </row>
    <row r="6">
      <c r="A6" t="inlineStr">
        <is>
          <t>Round 03</t>
        </is>
      </c>
      <c r="B6" t="inlineStr">
        <is>
          <t>Team 1</t>
        </is>
      </c>
      <c r="D6" t="inlineStr">
        <is>
          <t>Team 3</t>
        </is>
      </c>
      <c r="G6" t="inlineStr">
        <is>
          <t>Team 4</t>
        </is>
      </c>
      <c r="I6" t="inlineStr">
        <is>
          <t>Team 2</t>
        </is>
      </c>
    </row>
    <row r="7">
      <c r="B7" t="inlineStr">
        <is>
          <t>Ref</t>
        </is>
      </c>
      <c r="F7" t="inlineStr">
        <is>
          <t>Team 7</t>
        </is>
      </c>
      <c r="G7" t="inlineStr">
        <is>
          <t>Ref</t>
        </is>
      </c>
      <c r="K7" t="inlineStr">
        <is>
          <t>Team 8</t>
        </is>
      </c>
      <c r="L7" t="inlineStr">
        <is>
          <t>Off: Team 5, Team 6</t>
        </is>
      </c>
    </row>
    <row r="8">
      <c r="A8" t="inlineStr">
        <is>
          <t>Round 04</t>
        </is>
      </c>
      <c r="B8" t="inlineStr">
        <is>
          <t>Team 7</t>
        </is>
      </c>
      <c r="D8" t="inlineStr">
        <is>
          <t>Team 5</t>
        </is>
      </c>
      <c r="G8" t="inlineStr">
        <is>
          <t>Team 8</t>
        </is>
      </c>
      <c r="I8" t="inlineStr">
        <is>
          <t>Team 6</t>
        </is>
      </c>
    </row>
    <row r="9">
      <c r="B9" t="inlineStr">
        <is>
          <t>Ref</t>
        </is>
      </c>
      <c r="F9" t="inlineStr">
        <is>
          <t>Team 3</t>
        </is>
      </c>
      <c r="G9" t="inlineStr">
        <is>
          <t>Ref</t>
        </is>
      </c>
      <c r="K9" t="inlineStr">
        <is>
          <t>Team 4</t>
        </is>
      </c>
      <c r="L9" t="inlineStr">
        <is>
          <t>Off: Team 1, Team 2</t>
        </is>
      </c>
    </row>
    <row r="10">
      <c r="A10" t="inlineStr">
        <is>
          <t>Round 05</t>
        </is>
      </c>
      <c r="B10" t="inlineStr">
        <is>
          <t>Team 1</t>
        </is>
      </c>
      <c r="D10" t="inlineStr">
        <is>
          <t>Team 4</t>
        </is>
      </c>
      <c r="G10" t="inlineStr">
        <is>
          <t>Team 2</t>
        </is>
      </c>
      <c r="I10" t="inlineStr">
        <is>
          <t>Team 3</t>
        </is>
      </c>
    </row>
    <row r="11">
      <c r="B11" t="inlineStr">
        <is>
          <t>Ref</t>
        </is>
      </c>
      <c r="F11" t="inlineStr">
        <is>
          <t>Team 5</t>
        </is>
      </c>
      <c r="G11" t="inlineStr">
        <is>
          <t>Ref</t>
        </is>
      </c>
      <c r="K11" t="inlineStr">
        <is>
          <t>Team 6</t>
        </is>
      </c>
      <c r="L11" t="inlineStr">
        <is>
          <t>Off: Team 7, Team 8</t>
        </is>
      </c>
    </row>
    <row r="12">
      <c r="A12" t="inlineStr">
        <is>
          <t>Round 06</t>
        </is>
      </c>
      <c r="B12" t="inlineStr">
        <is>
          <t>Team 5</t>
        </is>
      </c>
      <c r="D12" t="inlineStr">
        <is>
          <t>Team 8</t>
        </is>
      </c>
      <c r="G12" t="inlineStr">
        <is>
          <t>Team 6</t>
        </is>
      </c>
      <c r="I12" t="inlineStr">
        <is>
          <t>Team 7</t>
        </is>
      </c>
    </row>
    <row r="13">
      <c r="B13" t="inlineStr">
        <is>
          <t>Ref</t>
        </is>
      </c>
      <c r="F13" t="inlineStr">
        <is>
          <t>Team 1</t>
        </is>
      </c>
      <c r="G13" t="inlineStr">
        <is>
          <t>Ref</t>
        </is>
      </c>
      <c r="K13" t="inlineStr">
        <is>
          <t>Team 2</t>
        </is>
      </c>
      <c r="L13" t="inlineStr">
        <is>
          <t>Off: Team 3, Team 4</t>
        </is>
      </c>
    </row>
    <row r="14">
      <c r="A14" t="inlineStr">
        <is>
          <t>Round 07</t>
        </is>
      </c>
      <c r="B14" t="inlineStr">
        <is>
          <t>Team 1</t>
        </is>
      </c>
      <c r="D14" t="inlineStr">
        <is>
          <t>Team 5</t>
        </is>
      </c>
      <c r="G14" t="inlineStr">
        <is>
          <t>Team 2</t>
        </is>
      </c>
      <c r="I14" t="inlineStr">
        <is>
          <t>Team 6</t>
        </is>
      </c>
    </row>
    <row r="15">
      <c r="B15" t="inlineStr">
        <is>
          <t>Ref</t>
        </is>
      </c>
      <c r="F15" t="inlineStr">
        <is>
          <t>Team 3</t>
        </is>
      </c>
      <c r="G15" t="inlineStr">
        <is>
          <t>Ref</t>
        </is>
      </c>
      <c r="K15" t="inlineStr">
        <is>
          <t>Team 4</t>
        </is>
      </c>
      <c r="L15" t="inlineStr">
        <is>
          <t>Off: Team 7, Team 8</t>
        </is>
      </c>
    </row>
    <row r="16">
      <c r="A16" t="inlineStr">
        <is>
          <t>Round 08</t>
        </is>
      </c>
      <c r="B16" t="inlineStr">
        <is>
          <t>Team 3</t>
        </is>
      </c>
      <c r="D16" t="inlineStr">
        <is>
          <t>Team 7</t>
        </is>
      </c>
      <c r="G16" t="inlineStr">
        <is>
          <t>Team 4</t>
        </is>
      </c>
      <c r="I16" t="inlineStr">
        <is>
          <t>Team 8</t>
        </is>
      </c>
    </row>
    <row r="17">
      <c r="B17" t="inlineStr">
        <is>
          <t>Ref</t>
        </is>
      </c>
      <c r="F17" t="inlineStr">
        <is>
          <t>Team 1</t>
        </is>
      </c>
      <c r="G17" t="inlineStr">
        <is>
          <t>Ref</t>
        </is>
      </c>
      <c r="K17" t="inlineStr">
        <is>
          <t>Team 2</t>
        </is>
      </c>
      <c r="L17" t="inlineStr">
        <is>
          <t>Off: Team 5, Team 6</t>
        </is>
      </c>
    </row>
    <row r="18">
      <c r="A18" t="inlineStr">
        <is>
          <t>Round 09</t>
        </is>
      </c>
      <c r="B18" t="inlineStr">
        <is>
          <t>Team 5</t>
        </is>
      </c>
      <c r="D18" t="inlineStr">
        <is>
          <t>Team 1</t>
        </is>
      </c>
      <c r="G18" t="inlineStr">
        <is>
          <t>Team 6</t>
        </is>
      </c>
      <c r="I18" t="inlineStr">
        <is>
          <t>Team 2</t>
        </is>
      </c>
    </row>
    <row r="19">
      <c r="B19" t="inlineStr">
        <is>
          <t>Ref</t>
        </is>
      </c>
      <c r="F19" t="inlineStr">
        <is>
          <t>Team 7</t>
        </is>
      </c>
      <c r="G19" t="inlineStr">
        <is>
          <t>Ref</t>
        </is>
      </c>
      <c r="K19" t="inlineStr">
        <is>
          <t>Team 8</t>
        </is>
      </c>
      <c r="L19" t="inlineStr">
        <is>
          <t>Off: Team 3, Team 4</t>
        </is>
      </c>
    </row>
    <row r="20">
      <c r="A20" t="inlineStr">
        <is>
          <t>Round 10</t>
        </is>
      </c>
      <c r="B20" t="inlineStr">
        <is>
          <t>Team 7</t>
        </is>
      </c>
      <c r="D20" t="inlineStr">
        <is>
          <t>Team 3</t>
        </is>
      </c>
      <c r="G20" t="inlineStr">
        <is>
          <t>Team 8</t>
        </is>
      </c>
      <c r="I20" t="inlineStr">
        <is>
          <t>Team 4</t>
        </is>
      </c>
    </row>
    <row r="21">
      <c r="B21" t="inlineStr">
        <is>
          <t>Ref</t>
        </is>
      </c>
      <c r="F21" t="inlineStr">
        <is>
          <t>Team 5</t>
        </is>
      </c>
      <c r="G21" t="inlineStr">
        <is>
          <t>Ref</t>
        </is>
      </c>
      <c r="K21" t="inlineStr">
        <is>
          <t>Team 6</t>
        </is>
      </c>
      <c r="L21" t="inlineStr">
        <is>
          <t>Off: Team 1, Team 2</t>
        </is>
      </c>
    </row>
    <row r="22">
      <c r="A22" t="inlineStr">
        <is>
          <t>Round 11</t>
        </is>
      </c>
      <c r="B22" t="inlineStr">
        <is>
          <t>Team 6</t>
        </is>
      </c>
      <c r="D22" t="inlineStr">
        <is>
          <t>Team 1</t>
        </is>
      </c>
      <c r="G22" t="inlineStr">
        <is>
          <t>Team 5</t>
        </is>
      </c>
      <c r="I22" t="inlineStr">
        <is>
          <t>Team 2</t>
        </is>
      </c>
    </row>
    <row r="23">
      <c r="B23" t="inlineStr">
        <is>
          <t>Ref</t>
        </is>
      </c>
      <c r="F23" t="inlineStr">
        <is>
          <t>Team 3</t>
        </is>
      </c>
      <c r="G23" t="inlineStr">
        <is>
          <t>Ref</t>
        </is>
      </c>
      <c r="K23" t="inlineStr">
        <is>
          <t>Team 4</t>
        </is>
      </c>
      <c r="L23" t="inlineStr">
        <is>
          <t>Off: Team 7, Team 8</t>
        </is>
      </c>
    </row>
    <row r="24">
      <c r="A24" t="inlineStr">
        <is>
          <t>Round 12</t>
        </is>
      </c>
      <c r="B24" t="inlineStr">
        <is>
          <t>Team 8</t>
        </is>
      </c>
      <c r="D24" t="inlineStr">
        <is>
          <t>Team 3</t>
        </is>
      </c>
      <c r="G24" t="inlineStr">
        <is>
          <t>Team 7</t>
        </is>
      </c>
      <c r="I24" t="inlineStr">
        <is>
          <t>Team 4</t>
        </is>
      </c>
    </row>
    <row r="25">
      <c r="B25" t="inlineStr">
        <is>
          <t>Ref</t>
        </is>
      </c>
      <c r="F25" t="inlineStr">
        <is>
          <t>Team 1</t>
        </is>
      </c>
      <c r="G25" t="inlineStr">
        <is>
          <t>Ref</t>
        </is>
      </c>
      <c r="K25" t="inlineStr">
        <is>
          <t>Team 2</t>
        </is>
      </c>
      <c r="L25" t="inlineStr">
        <is>
          <t>Off: Team 5, Team 6</t>
        </is>
      </c>
    </row>
    <row r="26">
      <c r="A26" t="inlineStr">
        <is>
          <t>Round 13</t>
        </is>
      </c>
      <c r="B26" t="inlineStr">
        <is>
          <t>Team 6</t>
        </is>
      </c>
      <c r="D26" t="inlineStr">
        <is>
          <t>Team 1</t>
        </is>
      </c>
      <c r="G26" t="inlineStr">
        <is>
          <t>Team 2</t>
        </is>
      </c>
      <c r="I26" t="inlineStr">
        <is>
          <t>Team 5</t>
        </is>
      </c>
    </row>
    <row r="27">
      <c r="B27" t="inlineStr">
        <is>
          <t>Ref</t>
        </is>
      </c>
      <c r="F27" t="inlineStr">
        <is>
          <t>Team 7</t>
        </is>
      </c>
      <c r="G27" t="inlineStr">
        <is>
          <t>Ref</t>
        </is>
      </c>
      <c r="K27" t="inlineStr">
        <is>
          <t>Team 8</t>
        </is>
      </c>
      <c r="L27" t="inlineStr">
        <is>
          <t>Off: Team 3, Team 4</t>
        </is>
      </c>
    </row>
    <row r="28">
      <c r="A28" t="inlineStr">
        <is>
          <t>Round 14</t>
        </is>
      </c>
      <c r="B28" t="inlineStr">
        <is>
          <t>Team 3</t>
        </is>
      </c>
      <c r="D28" t="inlineStr">
        <is>
          <t>Team 8</t>
        </is>
      </c>
      <c r="G28" t="inlineStr">
        <is>
          <t>Team 4</t>
        </is>
      </c>
      <c r="I28" t="inlineStr">
        <is>
          <t>Team 7</t>
        </is>
      </c>
    </row>
    <row r="29">
      <c r="B29" t="inlineStr">
        <is>
          <t>Ref</t>
        </is>
      </c>
      <c r="F29" t="inlineStr">
        <is>
          <t>Team 5</t>
        </is>
      </c>
      <c r="G29" t="inlineStr">
        <is>
          <t>Ref</t>
        </is>
      </c>
      <c r="K29" t="inlineStr">
        <is>
          <t>Team 6</t>
        </is>
      </c>
      <c r="L29" t="inlineStr">
        <is>
          <t>Off: Team 1, Team 2</t>
        </is>
      </c>
    </row>
    <row r="30">
      <c r="A30" t="inlineStr">
        <is>
          <t>Round 15</t>
        </is>
      </c>
      <c r="B30" t="inlineStr">
        <is>
          <t>Team 1</t>
        </is>
      </c>
      <c r="D30" t="inlineStr">
        <is>
          <t>Team 7</t>
        </is>
      </c>
      <c r="G30" t="inlineStr">
        <is>
          <t>Team 2</t>
        </is>
      </c>
      <c r="I30" t="inlineStr">
        <is>
          <t>Team 8</t>
        </is>
      </c>
    </row>
    <row r="31">
      <c r="B31" t="inlineStr">
        <is>
          <t>Ref</t>
        </is>
      </c>
      <c r="F31" t="inlineStr">
        <is>
          <t>Team 3</t>
        </is>
      </c>
      <c r="G31" t="inlineStr">
        <is>
          <t>Ref</t>
        </is>
      </c>
      <c r="K31" t="inlineStr">
        <is>
          <t>Team 4</t>
        </is>
      </c>
      <c r="L31" t="inlineStr">
        <is>
          <t>Off: Team 5, Team 6</t>
        </is>
      </c>
    </row>
    <row r="32">
      <c r="A32" t="inlineStr">
        <is>
          <t>Round 16</t>
        </is>
      </c>
      <c r="B32" t="inlineStr">
        <is>
          <t>Team 3</t>
        </is>
      </c>
      <c r="D32" t="inlineStr">
        <is>
          <t>Team 5</t>
        </is>
      </c>
      <c r="G32" t="inlineStr">
        <is>
          <t>Team 4</t>
        </is>
      </c>
      <c r="I32" t="inlineStr">
        <is>
          <t>Team 6</t>
        </is>
      </c>
    </row>
    <row r="33">
      <c r="B33" t="inlineStr">
        <is>
          <t>Ref</t>
        </is>
      </c>
      <c r="F33" t="inlineStr">
        <is>
          <t>Team 7</t>
        </is>
      </c>
      <c r="G33" t="inlineStr">
        <is>
          <t>Ref</t>
        </is>
      </c>
      <c r="K33" t="inlineStr">
        <is>
          <t>Team 8</t>
        </is>
      </c>
      <c r="L33" t="inlineStr">
        <is>
          <t>Off: Team 1, Team 2</t>
        </is>
      </c>
    </row>
    <row r="34">
      <c r="A34" t="inlineStr">
        <is>
          <t>Round 17</t>
        </is>
      </c>
      <c r="B34" t="inlineStr">
        <is>
          <t>Team 7</t>
        </is>
      </c>
      <c r="D34" t="inlineStr">
        <is>
          <t>Team 1</t>
        </is>
      </c>
      <c r="G34" t="inlineStr">
        <is>
          <t>Team 8</t>
        </is>
      </c>
      <c r="I34" t="inlineStr">
        <is>
          <t>Team 2</t>
        </is>
      </c>
    </row>
    <row r="35">
      <c r="B35" t="inlineStr">
        <is>
          <t>Ref</t>
        </is>
      </c>
      <c r="F35" t="inlineStr">
        <is>
          <t>Team 3</t>
        </is>
      </c>
      <c r="G35" t="inlineStr">
        <is>
          <t>Ref</t>
        </is>
      </c>
      <c r="K35" t="inlineStr">
        <is>
          <t>Team 4</t>
        </is>
      </c>
      <c r="L35" t="inlineStr">
        <is>
          <t>Off: Team 5, Team 6</t>
        </is>
      </c>
    </row>
    <row r="36">
      <c r="A36" t="inlineStr">
        <is>
          <t>Round 18</t>
        </is>
      </c>
      <c r="B36" t="inlineStr">
        <is>
          <t>Team 5</t>
        </is>
      </c>
      <c r="D36" t="inlineStr">
        <is>
          <t>Team 3</t>
        </is>
      </c>
      <c r="G36" t="inlineStr">
        <is>
          <t>Team 6</t>
        </is>
      </c>
      <c r="I36" t="inlineStr">
        <is>
          <t>Team 4</t>
        </is>
      </c>
    </row>
    <row r="37">
      <c r="B37" t="inlineStr">
        <is>
          <t>Ref</t>
        </is>
      </c>
      <c r="F37" t="inlineStr">
        <is>
          <t>Team 1</t>
        </is>
      </c>
      <c r="G37" t="inlineStr">
        <is>
          <t>Ref</t>
        </is>
      </c>
      <c r="K37" t="inlineStr">
        <is>
          <t>Team 2</t>
        </is>
      </c>
      <c r="L37" t="inlineStr">
        <is>
          <t>Off: Team 7, Team 8</t>
        </is>
      </c>
    </row>
    <row r="38">
      <c r="A38" t="inlineStr">
        <is>
          <t>Round 19</t>
        </is>
      </c>
      <c r="B38" t="inlineStr">
        <is>
          <t>Team 8</t>
        </is>
      </c>
      <c r="D38" t="inlineStr">
        <is>
          <t>Team 1</t>
        </is>
      </c>
      <c r="G38" t="inlineStr">
        <is>
          <t>Team 2</t>
        </is>
      </c>
      <c r="I38" t="inlineStr">
        <is>
          <t>Team 7</t>
        </is>
      </c>
    </row>
    <row r="39">
      <c r="B39" t="inlineStr">
        <is>
          <t>Ref</t>
        </is>
      </c>
      <c r="F39" t="inlineStr">
        <is>
          <t>Team 5</t>
        </is>
      </c>
      <c r="G39" t="inlineStr">
        <is>
          <t>Ref</t>
        </is>
      </c>
      <c r="K39" t="inlineStr">
        <is>
          <t>Team 6</t>
        </is>
      </c>
      <c r="L39" t="inlineStr">
        <is>
          <t>Off: Team 3, Team 4</t>
        </is>
      </c>
    </row>
    <row r="40">
      <c r="A40" t="inlineStr">
        <is>
          <t>Round 20</t>
        </is>
      </c>
      <c r="B40" t="inlineStr">
        <is>
          <t>Team 3</t>
        </is>
      </c>
      <c r="D40" t="inlineStr">
        <is>
          <t>Team 6</t>
        </is>
      </c>
      <c r="G40" t="inlineStr">
        <is>
          <t>Team 4</t>
        </is>
      </c>
      <c r="I40" t="inlineStr">
        <is>
          <t>Team 5</t>
        </is>
      </c>
    </row>
    <row r="41">
      <c r="B41" t="inlineStr">
        <is>
          <t>Ref</t>
        </is>
      </c>
      <c r="F41" t="inlineStr">
        <is>
          <t>Team 7</t>
        </is>
      </c>
      <c r="G41" t="inlineStr">
        <is>
          <t>Ref</t>
        </is>
      </c>
      <c r="K41" t="inlineStr">
        <is>
          <t>Team 8</t>
        </is>
      </c>
      <c r="L41" t="inlineStr">
        <is>
          <t>Off: Team 1, Team 2</t>
        </is>
      </c>
    </row>
    <row r="42">
      <c r="A42" t="inlineStr">
        <is>
          <t>Team Wins/Losses This Week</t>
        </is>
      </c>
    </row>
    <row r="43">
      <c r="A43" t="inlineStr">
        <is>
          <t>Team Name</t>
        </is>
      </c>
      <c r="B43" t="inlineStr">
        <is>
          <t>Wins</t>
        </is>
      </c>
      <c r="C43" t="inlineStr">
        <is>
          <t>Losses</t>
        </is>
      </c>
    </row>
    <row r="44">
      <c r="A44" t="inlineStr">
        <is>
          <t>Team 1</t>
        </is>
      </c>
      <c r="B44">
        <f>SUMIFS(C:C,B:B,"Team 1*")+SUMIFS(E:E,D:D,"Team 1*")+SUMIFS(H:H,G:G,"Team 1*")+SUMIFS(J:J,I:I,"Team 1*")</f>
        <v/>
      </c>
      <c r="C44">
        <f>SUMIFS(E:E,B:B,"Team 1*")+SUMIFS(C:C,D:D,"Team 1*")+SUMIFS(J:J,G:G,"Team 1*")+SUMIFS(H:H,I:I,"Team 1*")</f>
        <v/>
      </c>
    </row>
    <row r="45">
      <c r="A45" t="inlineStr">
        <is>
          <t>Team 2</t>
        </is>
      </c>
      <c r="B45">
        <f>SUMIFS(C:C,B:B,"Team 2*")+SUMIFS(E:E,D:D,"Team 2*")+SUMIFS(H:H,G:G,"Team 2*")+SUMIFS(J:J,I:I,"Team 2*")</f>
        <v/>
      </c>
      <c r="C45">
        <f>SUMIFS(E:E,B:B,"Team 2*")+SUMIFS(C:C,D:D,"Team 2*")+SUMIFS(J:J,G:G,"Team 2*")+SUMIFS(H:H,I:I,"Team 2*")</f>
        <v/>
      </c>
    </row>
    <row r="46">
      <c r="A46" t="inlineStr">
        <is>
          <t>Team 3</t>
        </is>
      </c>
      <c r="B46">
        <f>SUMIFS(C:C,B:B,"Team 3*")+SUMIFS(E:E,D:D,"Team 3*")+SUMIFS(H:H,G:G,"Team 3*")+SUMIFS(J:J,I:I,"Team 3*")</f>
        <v/>
      </c>
      <c r="C46">
        <f>SUMIFS(E:E,B:B,"Team 3*")+SUMIFS(C:C,D:D,"Team 3*")+SUMIFS(J:J,G:G,"Team 3*")+SUMIFS(H:H,I:I,"Team 3*")</f>
        <v/>
      </c>
    </row>
    <row r="47">
      <c r="A47" t="inlineStr">
        <is>
          <t>Team 4</t>
        </is>
      </c>
      <c r="B47">
        <f>SUMIFS(C:C,B:B,"Team 4*")+SUMIFS(E:E,D:D,"Team 4*")+SUMIFS(H:H,G:G,"Team 4*")+SUMIFS(J:J,I:I,"Team 4*")</f>
        <v/>
      </c>
      <c r="C47">
        <f>SUMIFS(E:E,B:B,"Team 4*")+SUMIFS(C:C,D:D,"Team 4*")+SUMIFS(J:J,G:G,"Team 4*")+SUMIFS(H:H,I:I,"Team 4*")</f>
        <v/>
      </c>
    </row>
    <row r="48">
      <c r="A48" t="inlineStr">
        <is>
          <t>Team 5</t>
        </is>
      </c>
      <c r="B48">
        <f>SUMIFS(C:C,B:B,"Team 5*")+SUMIFS(E:E,D:D,"Team 5*")+SUMIFS(H:H,G:G,"Team 5*")+SUMIFS(J:J,I:I,"Team 5*")</f>
        <v/>
      </c>
      <c r="C48">
        <f>SUMIFS(E:E,B:B,"Team 5*")+SUMIFS(C:C,D:D,"Team 5*")+SUMIFS(J:J,G:G,"Team 5*")+SUMIFS(H:H,I:I,"Team 5*")</f>
        <v/>
      </c>
    </row>
    <row r="49">
      <c r="A49" t="inlineStr">
        <is>
          <t>Team 6</t>
        </is>
      </c>
      <c r="B49">
        <f>SUMIFS(C:C,B:B,"Team 6*")+SUMIFS(E:E,D:D,"Team 6*")+SUMIFS(H:H,G:G,"Team 6*")+SUMIFS(J:J,I:I,"Team 6*")</f>
        <v/>
      </c>
      <c r="C49">
        <f>SUMIFS(E:E,B:B,"Team 6*")+SUMIFS(C:C,D:D,"Team 6*")+SUMIFS(J:J,G:G,"Team 6*")+SUMIFS(H:H,I:I,"Team 6*")</f>
        <v/>
      </c>
    </row>
    <row r="50">
      <c r="A50" t="inlineStr">
        <is>
          <t>Team 7</t>
        </is>
      </c>
      <c r="B50">
        <f>SUMIFS(C:C,B:B,"Team 7*")+SUMIFS(E:E,D:D,"Team 7*")+SUMIFS(H:H,G:G,"Team 7*")+SUMIFS(J:J,I:I,"Team 7*")</f>
        <v/>
      </c>
      <c r="C50">
        <f>SUMIFS(E:E,B:B,"Team 7*")+SUMIFS(C:C,D:D,"Team 7*")+SUMIFS(J:J,G:G,"Team 7*")+SUMIFS(H:H,I:I,"Team 7*")</f>
        <v/>
      </c>
    </row>
    <row r="51">
      <c r="A51" t="inlineStr">
        <is>
          <t>Team 8</t>
        </is>
      </c>
      <c r="B51">
        <f>SUMIFS(C:C,B:B,"Team 8*")+SUMIFS(E:E,D:D,"Team 8*")+SUMIFS(H:H,G:G,"Team 8*")+SUMIFS(J:J,I:I,"Team 8*")</f>
        <v/>
      </c>
      <c r="C51">
        <f>SUMIFS(E:E,B:B,"Team 8*")+SUMIFS(C:C,D:D,"Team 8*")+SUMIFS(J:J,G:G,"Team 8*")+SUMIFS(H:H,I:I,"Team 8*")</f>
        <v/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Court 1</t>
        </is>
      </c>
      <c r="G1" t="inlineStr">
        <is>
          <t>Court 2</t>
        </is>
      </c>
    </row>
    <row r="2">
      <c r="A2" t="inlineStr">
        <is>
          <t>Round 01</t>
        </is>
      </c>
      <c r="B2" t="inlineStr">
        <is>
          <t>Team 1</t>
        </is>
      </c>
      <c r="D2" t="inlineStr">
        <is>
          <t>Team 2</t>
        </is>
      </c>
      <c r="G2" t="inlineStr">
        <is>
          <t>Team 4</t>
        </is>
      </c>
      <c r="I2" t="inlineStr">
        <is>
          <t>Team 3</t>
        </is>
      </c>
    </row>
    <row r="3">
      <c r="B3" t="inlineStr">
        <is>
          <t>Ref</t>
        </is>
      </c>
      <c r="F3" t="inlineStr">
        <is>
          <t>Team 5</t>
        </is>
      </c>
      <c r="G3" t="inlineStr">
        <is>
          <t>Ref</t>
        </is>
      </c>
      <c r="K3" t="inlineStr">
        <is>
          <t>Team 6</t>
        </is>
      </c>
      <c r="L3" t="inlineStr">
        <is>
          <t>Off: Team 7, Team 8</t>
        </is>
      </c>
    </row>
    <row r="4">
      <c r="A4" t="inlineStr">
        <is>
          <t>Round 02</t>
        </is>
      </c>
      <c r="B4" t="inlineStr">
        <is>
          <t>Team 5</t>
        </is>
      </c>
      <c r="D4" t="inlineStr">
        <is>
          <t>Team 6</t>
        </is>
      </c>
      <c r="G4" t="inlineStr">
        <is>
          <t>Team 7</t>
        </is>
      </c>
      <c r="I4" t="inlineStr">
        <is>
          <t>Team 8</t>
        </is>
      </c>
    </row>
    <row r="5">
      <c r="B5" t="inlineStr">
        <is>
          <t>Ref</t>
        </is>
      </c>
      <c r="F5" t="inlineStr">
        <is>
          <t>Team 1</t>
        </is>
      </c>
      <c r="G5" t="inlineStr">
        <is>
          <t>Ref</t>
        </is>
      </c>
      <c r="K5" t="inlineStr">
        <is>
          <t>Team 2</t>
        </is>
      </c>
      <c r="L5" t="inlineStr">
        <is>
          <t>Off: Team 3, Team 4</t>
        </is>
      </c>
    </row>
    <row r="6">
      <c r="A6" t="inlineStr">
        <is>
          <t>Round 03</t>
        </is>
      </c>
      <c r="B6" t="inlineStr">
        <is>
          <t>Team 1</t>
        </is>
      </c>
      <c r="D6" t="inlineStr">
        <is>
          <t>Team 2</t>
        </is>
      </c>
      <c r="G6" t="inlineStr">
        <is>
          <t>Team 3</t>
        </is>
      </c>
      <c r="I6" t="inlineStr">
        <is>
          <t>Team 5</t>
        </is>
      </c>
    </row>
    <row r="7">
      <c r="B7" t="inlineStr">
        <is>
          <t>Ref</t>
        </is>
      </c>
      <c r="F7" t="inlineStr">
        <is>
          <t>Team 4</t>
        </is>
      </c>
      <c r="G7" t="inlineStr">
        <is>
          <t>Ref</t>
        </is>
      </c>
      <c r="K7" t="inlineStr">
        <is>
          <t>Team 7</t>
        </is>
      </c>
      <c r="L7" t="inlineStr">
        <is>
          <t>Off: Team 6, Team 8</t>
        </is>
      </c>
    </row>
    <row r="8">
      <c r="A8" t="inlineStr">
        <is>
          <t>Round 04</t>
        </is>
      </c>
      <c r="B8" t="inlineStr">
        <is>
          <t>Team 6</t>
        </is>
      </c>
      <c r="D8" t="inlineStr">
        <is>
          <t>Team 4</t>
        </is>
      </c>
      <c r="G8" t="inlineStr">
        <is>
          <t>Team 8</t>
        </is>
      </c>
      <c r="I8" t="inlineStr">
        <is>
          <t>Team 7</t>
        </is>
      </c>
    </row>
    <row r="9">
      <c r="B9" t="inlineStr">
        <is>
          <t>Ref</t>
        </is>
      </c>
      <c r="F9" t="inlineStr">
        <is>
          <t>Team 3</t>
        </is>
      </c>
      <c r="G9" t="inlineStr">
        <is>
          <t>Ref</t>
        </is>
      </c>
      <c r="K9" t="inlineStr">
        <is>
          <t>Team 1</t>
        </is>
      </c>
      <c r="L9" t="inlineStr">
        <is>
          <t>Off: Team 2, Team 5</t>
        </is>
      </c>
    </row>
    <row r="10">
      <c r="A10" t="inlineStr">
        <is>
          <t>Round 05</t>
        </is>
      </c>
      <c r="B10" t="inlineStr">
        <is>
          <t>Team 3</t>
        </is>
      </c>
      <c r="D10" t="inlineStr">
        <is>
          <t>Team 1</t>
        </is>
      </c>
      <c r="G10" t="inlineStr">
        <is>
          <t>Team 2</t>
        </is>
      </c>
      <c r="I10" t="inlineStr">
        <is>
          <t>Team 4</t>
        </is>
      </c>
    </row>
    <row r="11">
      <c r="B11" t="inlineStr">
        <is>
          <t>Ref</t>
        </is>
      </c>
      <c r="F11" t="inlineStr">
        <is>
          <t>Team 8</t>
        </is>
      </c>
      <c r="G11" t="inlineStr">
        <is>
          <t>Ref</t>
        </is>
      </c>
      <c r="K11" t="inlineStr">
        <is>
          <t>Team 5</t>
        </is>
      </c>
      <c r="L11" t="inlineStr">
        <is>
          <t>Off: Team 6, Team 7</t>
        </is>
      </c>
    </row>
    <row r="12">
      <c r="A12" t="inlineStr">
        <is>
          <t>Round 06</t>
        </is>
      </c>
      <c r="B12" t="inlineStr">
        <is>
          <t>Team 5</t>
        </is>
      </c>
      <c r="D12" t="inlineStr">
        <is>
          <t>Team 7</t>
        </is>
      </c>
      <c r="G12" t="inlineStr">
        <is>
          <t>Team 6</t>
        </is>
      </c>
      <c r="I12" t="inlineStr">
        <is>
          <t>Team 8</t>
        </is>
      </c>
    </row>
    <row r="13">
      <c r="B13" t="inlineStr">
        <is>
          <t>Ref</t>
        </is>
      </c>
      <c r="F13" t="inlineStr">
        <is>
          <t>Team 2</t>
        </is>
      </c>
      <c r="G13" t="inlineStr">
        <is>
          <t>Ref</t>
        </is>
      </c>
      <c r="K13" t="inlineStr">
        <is>
          <t>Team 3</t>
        </is>
      </c>
      <c r="L13" t="inlineStr">
        <is>
          <t>Off: Team 1, Team 4</t>
        </is>
      </c>
    </row>
    <row r="14">
      <c r="A14" t="inlineStr">
        <is>
          <t>Round 07</t>
        </is>
      </c>
      <c r="B14" t="inlineStr">
        <is>
          <t>Team 1</t>
        </is>
      </c>
      <c r="D14" t="inlineStr">
        <is>
          <t>Team 3</t>
        </is>
      </c>
      <c r="G14" t="inlineStr">
        <is>
          <t>Team 5</t>
        </is>
      </c>
      <c r="I14" t="inlineStr">
        <is>
          <t>Team 2</t>
        </is>
      </c>
    </row>
    <row r="15">
      <c r="B15" t="inlineStr">
        <is>
          <t>Ref</t>
        </is>
      </c>
      <c r="F15" t="inlineStr">
        <is>
          <t>Team 4</t>
        </is>
      </c>
      <c r="G15" t="inlineStr">
        <is>
          <t>Ref</t>
        </is>
      </c>
      <c r="K15" t="inlineStr">
        <is>
          <t>Team 6</t>
        </is>
      </c>
      <c r="L15" t="inlineStr">
        <is>
          <t>Off: Team 7, Team 8</t>
        </is>
      </c>
    </row>
    <row r="16">
      <c r="A16" t="inlineStr">
        <is>
          <t>Round 08</t>
        </is>
      </c>
      <c r="B16" t="inlineStr">
        <is>
          <t>Team 4</t>
        </is>
      </c>
      <c r="D16" t="inlineStr">
        <is>
          <t>Team 8</t>
        </is>
      </c>
      <c r="G16" t="inlineStr">
        <is>
          <t>Team 7</t>
        </is>
      </c>
      <c r="I16" t="inlineStr">
        <is>
          <t>Team 6</t>
        </is>
      </c>
    </row>
    <row r="17">
      <c r="B17" t="inlineStr">
        <is>
          <t>Ref</t>
        </is>
      </c>
      <c r="F17" t="inlineStr">
        <is>
          <t>Team 1</t>
        </is>
      </c>
      <c r="G17" t="inlineStr">
        <is>
          <t>Ref</t>
        </is>
      </c>
      <c r="K17" t="inlineStr">
        <is>
          <t>Team 2</t>
        </is>
      </c>
      <c r="L17" t="inlineStr">
        <is>
          <t>Off: Team 3, Team 5</t>
        </is>
      </c>
    </row>
    <row r="18">
      <c r="A18" t="inlineStr">
        <is>
          <t>Round 09</t>
        </is>
      </c>
      <c r="B18" t="inlineStr">
        <is>
          <t>Team 1</t>
        </is>
      </c>
      <c r="D18" t="inlineStr">
        <is>
          <t>Team 4</t>
        </is>
      </c>
      <c r="G18" t="inlineStr">
        <is>
          <t>Team 2</t>
        </is>
      </c>
      <c r="I18" t="inlineStr">
        <is>
          <t>Team 3</t>
        </is>
      </c>
    </row>
    <row r="19">
      <c r="B19" t="inlineStr">
        <is>
          <t>Ref</t>
        </is>
      </c>
      <c r="F19" t="inlineStr">
        <is>
          <t>Team 7</t>
        </is>
      </c>
      <c r="G19" t="inlineStr">
        <is>
          <t>Ref</t>
        </is>
      </c>
      <c r="K19" t="inlineStr">
        <is>
          <t>Team 8</t>
        </is>
      </c>
      <c r="L19" t="inlineStr">
        <is>
          <t>Off: Team 5, Team 6</t>
        </is>
      </c>
    </row>
    <row r="20">
      <c r="A20" t="inlineStr">
        <is>
          <t>Round 10</t>
        </is>
      </c>
      <c r="B20" t="inlineStr">
        <is>
          <t>Team 6</t>
        </is>
      </c>
      <c r="D20" t="inlineStr">
        <is>
          <t>Team 1</t>
        </is>
      </c>
      <c r="G20" t="inlineStr">
        <is>
          <t>Team 5</t>
        </is>
      </c>
      <c r="I20" t="inlineStr">
        <is>
          <t>Team 8</t>
        </is>
      </c>
    </row>
    <row r="21">
      <c r="B21" t="inlineStr">
        <is>
          <t>Ref</t>
        </is>
      </c>
      <c r="F21" t="inlineStr">
        <is>
          <t>Team 3</t>
        </is>
      </c>
      <c r="G21" t="inlineStr">
        <is>
          <t>Ref</t>
        </is>
      </c>
      <c r="K21" t="inlineStr">
        <is>
          <t>Team 4</t>
        </is>
      </c>
      <c r="L21" t="inlineStr">
        <is>
          <t>Off: Team 2, Team 7</t>
        </is>
      </c>
    </row>
    <row r="22">
      <c r="A22" t="inlineStr">
        <is>
          <t>Round 11</t>
        </is>
      </c>
      <c r="B22" t="inlineStr">
        <is>
          <t>Team 3</t>
        </is>
      </c>
      <c r="D22" t="inlineStr">
        <is>
          <t>Team 2</t>
        </is>
      </c>
      <c r="G22" t="inlineStr">
        <is>
          <t>Team 4</t>
        </is>
      </c>
      <c r="I22" t="inlineStr">
        <is>
          <t>Team 7</t>
        </is>
      </c>
    </row>
    <row r="23">
      <c r="B23" t="inlineStr">
        <is>
          <t>Ref</t>
        </is>
      </c>
      <c r="F23" t="inlineStr">
        <is>
          <t>Team 5</t>
        </is>
      </c>
      <c r="G23" t="inlineStr">
        <is>
          <t>Ref</t>
        </is>
      </c>
      <c r="K23" t="inlineStr">
        <is>
          <t>Team 6</t>
        </is>
      </c>
      <c r="L23" t="inlineStr">
        <is>
          <t>Off: Team 1, Team 8</t>
        </is>
      </c>
    </row>
    <row r="24">
      <c r="A24" t="inlineStr">
        <is>
          <t>Round 12</t>
        </is>
      </c>
      <c r="B24" t="inlineStr">
        <is>
          <t>Team 7</t>
        </is>
      </c>
      <c r="D24" t="inlineStr">
        <is>
          <t>Team 1</t>
        </is>
      </c>
      <c r="G24" t="inlineStr">
        <is>
          <t>Team 6</t>
        </is>
      </c>
      <c r="I24" t="inlineStr">
        <is>
          <t>Team 5</t>
        </is>
      </c>
    </row>
    <row r="25">
      <c r="B25" t="inlineStr">
        <is>
          <t>Ref</t>
        </is>
      </c>
      <c r="F25" t="inlineStr">
        <is>
          <t>Team 8</t>
        </is>
      </c>
      <c r="G25" t="inlineStr">
        <is>
          <t>Ref</t>
        </is>
      </c>
      <c r="K25" t="inlineStr">
        <is>
          <t>Team 2</t>
        </is>
      </c>
      <c r="L25" t="inlineStr">
        <is>
          <t>Off: Team 3, Team 4</t>
        </is>
      </c>
    </row>
    <row r="26">
      <c r="A26" t="inlineStr">
        <is>
          <t>Round 13</t>
        </is>
      </c>
      <c r="B26" t="inlineStr">
        <is>
          <t>Team 2</t>
        </is>
      </c>
      <c r="D26" t="inlineStr">
        <is>
          <t>Team 6</t>
        </is>
      </c>
      <c r="G26" t="inlineStr">
        <is>
          <t>Team 8</t>
        </is>
      </c>
      <c r="I26" t="inlineStr">
        <is>
          <t>Team 3</t>
        </is>
      </c>
    </row>
    <row r="27">
      <c r="B27" t="inlineStr">
        <is>
          <t>Ref</t>
        </is>
      </c>
      <c r="F27" t="inlineStr">
        <is>
          <t>Team 7</t>
        </is>
      </c>
      <c r="G27" t="inlineStr">
        <is>
          <t>Ref</t>
        </is>
      </c>
      <c r="K27" t="inlineStr">
        <is>
          <t>Team 1</t>
        </is>
      </c>
      <c r="L27" t="inlineStr">
        <is>
          <t>Off: Team 4, Team 5</t>
        </is>
      </c>
    </row>
    <row r="28">
      <c r="A28" t="inlineStr">
        <is>
          <t>Round 14</t>
        </is>
      </c>
      <c r="B28" t="inlineStr">
        <is>
          <t>Team 7</t>
        </is>
      </c>
      <c r="D28" t="inlineStr">
        <is>
          <t>Team 4</t>
        </is>
      </c>
      <c r="G28" t="inlineStr">
        <is>
          <t>Team 8</t>
        </is>
      </c>
      <c r="I28" t="inlineStr">
        <is>
          <t>Team 5</t>
        </is>
      </c>
    </row>
    <row r="29">
      <c r="B29" t="inlineStr">
        <is>
          <t>Ref</t>
        </is>
      </c>
      <c r="F29" t="inlineStr">
        <is>
          <t>Team 3</t>
        </is>
      </c>
      <c r="G29" t="inlineStr">
        <is>
          <t>Ref</t>
        </is>
      </c>
      <c r="K29" t="inlineStr">
        <is>
          <t>Team 6</t>
        </is>
      </c>
      <c r="L29" t="inlineStr">
        <is>
          <t>Off: Team 1, Team 2</t>
        </is>
      </c>
    </row>
    <row r="30">
      <c r="A30" t="inlineStr">
        <is>
          <t>Round 15</t>
        </is>
      </c>
      <c r="B30" t="inlineStr">
        <is>
          <t>Team 1</t>
        </is>
      </c>
      <c r="D30" t="inlineStr">
        <is>
          <t>Team 5</t>
        </is>
      </c>
      <c r="G30" t="inlineStr">
        <is>
          <t>Team 2</t>
        </is>
      </c>
      <c r="I30" t="inlineStr">
        <is>
          <t>Team 7</t>
        </is>
      </c>
    </row>
    <row r="31">
      <c r="B31" t="inlineStr">
        <is>
          <t>Ref</t>
        </is>
      </c>
      <c r="F31" t="inlineStr">
        <is>
          <t>Team 4</t>
        </is>
      </c>
      <c r="G31" t="inlineStr">
        <is>
          <t>Ref</t>
        </is>
      </c>
      <c r="K31" t="inlineStr">
        <is>
          <t>Team 8</t>
        </is>
      </c>
      <c r="L31" t="inlineStr">
        <is>
          <t>Off: Team 3, Team 6</t>
        </is>
      </c>
    </row>
    <row r="32">
      <c r="A32" t="inlineStr">
        <is>
          <t>Round 16</t>
        </is>
      </c>
      <c r="B32" t="inlineStr">
        <is>
          <t>Team 8</t>
        </is>
      </c>
      <c r="D32" t="inlineStr">
        <is>
          <t>Team 1</t>
        </is>
      </c>
      <c r="G32" t="inlineStr">
        <is>
          <t>Team 3</t>
        </is>
      </c>
      <c r="I32" t="inlineStr">
        <is>
          <t>Team 6</t>
        </is>
      </c>
    </row>
    <row r="33">
      <c r="B33" t="inlineStr">
        <is>
          <t>Ref</t>
        </is>
      </c>
      <c r="F33" t="inlineStr">
        <is>
          <t>Team 5</t>
        </is>
      </c>
      <c r="G33" t="inlineStr">
        <is>
          <t>Ref</t>
        </is>
      </c>
      <c r="K33" t="inlineStr">
        <is>
          <t>Team 7</t>
        </is>
      </c>
      <c r="L33" t="inlineStr">
        <is>
          <t>Off: Team 2, Team 4</t>
        </is>
      </c>
    </row>
    <row r="34">
      <c r="A34" t="inlineStr">
        <is>
          <t>Round 17</t>
        </is>
      </c>
      <c r="B34" t="inlineStr">
        <is>
          <t>Team 7</t>
        </is>
      </c>
      <c r="D34" t="inlineStr">
        <is>
          <t>Team 2</t>
        </is>
      </c>
      <c r="G34" t="inlineStr">
        <is>
          <t>Team 4</t>
        </is>
      </c>
      <c r="I34" t="inlineStr">
        <is>
          <t>Team 5</t>
        </is>
      </c>
    </row>
    <row r="35">
      <c r="B35" t="inlineStr">
        <is>
          <t>Ref</t>
        </is>
      </c>
      <c r="F35" t="inlineStr">
        <is>
          <t>Team 1</t>
        </is>
      </c>
      <c r="G35" t="inlineStr">
        <is>
          <t>Ref</t>
        </is>
      </c>
      <c r="K35" t="inlineStr">
        <is>
          <t>Team 3</t>
        </is>
      </c>
      <c r="L35" t="inlineStr">
        <is>
          <t>Off: Team 6, Team 8</t>
        </is>
      </c>
    </row>
    <row r="36">
      <c r="A36" t="inlineStr">
        <is>
          <t>Round 18</t>
        </is>
      </c>
      <c r="B36" t="inlineStr">
        <is>
          <t>Team 8</t>
        </is>
      </c>
      <c r="D36" t="inlineStr">
        <is>
          <t>Team 1</t>
        </is>
      </c>
      <c r="G36" t="inlineStr">
        <is>
          <t>Team 6</t>
        </is>
      </c>
      <c r="I36" t="inlineStr">
        <is>
          <t>Team 3</t>
        </is>
      </c>
    </row>
    <row r="37">
      <c r="B37" t="inlineStr">
        <is>
          <t>Ref</t>
        </is>
      </c>
      <c r="F37" t="inlineStr">
        <is>
          <t>Team 2</t>
        </is>
      </c>
      <c r="G37" t="inlineStr">
        <is>
          <t>Ref</t>
        </is>
      </c>
      <c r="K37" t="inlineStr">
        <is>
          <t>Team 4</t>
        </is>
      </c>
      <c r="L37" t="inlineStr">
        <is>
          <t>Off: Team 5, Team 7</t>
        </is>
      </c>
    </row>
    <row r="38">
      <c r="A38" t="inlineStr">
        <is>
          <t>Round 19</t>
        </is>
      </c>
      <c r="B38" t="inlineStr">
        <is>
          <t>Team 2</t>
        </is>
      </c>
      <c r="D38" t="inlineStr">
        <is>
          <t>Team 8</t>
        </is>
      </c>
      <c r="G38" t="inlineStr">
        <is>
          <t>Team 5</t>
        </is>
      </c>
      <c r="I38" t="inlineStr">
        <is>
          <t>Team 4</t>
        </is>
      </c>
    </row>
    <row r="39">
      <c r="B39" t="inlineStr">
        <is>
          <t>Ref</t>
        </is>
      </c>
      <c r="F39" t="inlineStr">
        <is>
          <t>Team 6</t>
        </is>
      </c>
      <c r="G39" t="inlineStr">
        <is>
          <t>Ref</t>
        </is>
      </c>
      <c r="K39" t="inlineStr">
        <is>
          <t>Team 7</t>
        </is>
      </c>
      <c r="L39" t="inlineStr">
        <is>
          <t>Off: Team 1, Team 3</t>
        </is>
      </c>
    </row>
    <row r="40">
      <c r="A40" t="inlineStr">
        <is>
          <t>Round 20</t>
        </is>
      </c>
      <c r="B40" t="inlineStr">
        <is>
          <t>Team 3</t>
        </is>
      </c>
      <c r="D40" t="inlineStr">
        <is>
          <t>Team 7</t>
        </is>
      </c>
      <c r="G40" t="inlineStr">
        <is>
          <t>Team 4</t>
        </is>
      </c>
      <c r="I40" t="inlineStr">
        <is>
          <t>Team 6</t>
        </is>
      </c>
    </row>
    <row r="41">
      <c r="B41" t="inlineStr">
        <is>
          <t>Ref</t>
        </is>
      </c>
      <c r="F41" t="inlineStr">
        <is>
          <t>Team 5</t>
        </is>
      </c>
      <c r="G41" t="inlineStr">
        <is>
          <t>Ref</t>
        </is>
      </c>
      <c r="K41" t="inlineStr">
        <is>
          <t>Team 8</t>
        </is>
      </c>
      <c r="L41" t="inlineStr">
        <is>
          <t>Off: Team 1, Team 2</t>
        </is>
      </c>
    </row>
    <row r="42">
      <c r="A42" t="inlineStr">
        <is>
          <t>Team Wins/Losses This Week</t>
        </is>
      </c>
    </row>
    <row r="43">
      <c r="A43" t="inlineStr">
        <is>
          <t>Team Name</t>
        </is>
      </c>
      <c r="B43" t="inlineStr">
        <is>
          <t>Wins</t>
        </is>
      </c>
      <c r="C43" t="inlineStr">
        <is>
          <t>Losses</t>
        </is>
      </c>
    </row>
    <row r="44">
      <c r="A44" t="inlineStr">
        <is>
          <t>Team 1</t>
        </is>
      </c>
      <c r="B44">
        <f>SUMIFS(C:C,B:B,"Team 1*")+SUMIFS(E:E,D:D,"Team 1*")+SUMIFS(H:H,G:G,"Team 1*")+SUMIFS(J:J,I:I,"Team 1*")</f>
        <v/>
      </c>
      <c r="C44">
        <f>SUMIFS(E:E,B:B,"Team 1*")+SUMIFS(C:C,D:D,"Team 1*")+SUMIFS(J:J,G:G,"Team 1*")+SUMIFS(H:H,I:I,"Team 1*")</f>
        <v/>
      </c>
    </row>
    <row r="45">
      <c r="A45" t="inlineStr">
        <is>
          <t>Team 2</t>
        </is>
      </c>
      <c r="B45">
        <f>SUMIFS(C:C,B:B,"Team 2*")+SUMIFS(E:E,D:D,"Team 2*")+SUMIFS(H:H,G:G,"Team 2*")+SUMIFS(J:J,I:I,"Team 2*")</f>
        <v/>
      </c>
      <c r="C45">
        <f>SUMIFS(E:E,B:B,"Team 2*")+SUMIFS(C:C,D:D,"Team 2*")+SUMIFS(J:J,G:G,"Team 2*")+SUMIFS(H:H,I:I,"Team 2*")</f>
        <v/>
      </c>
    </row>
    <row r="46">
      <c r="A46" t="inlineStr">
        <is>
          <t>Team 3</t>
        </is>
      </c>
      <c r="B46">
        <f>SUMIFS(C:C,B:B,"Team 3*")+SUMIFS(E:E,D:D,"Team 3*")+SUMIFS(H:H,G:G,"Team 3*")+SUMIFS(J:J,I:I,"Team 3*")</f>
        <v/>
      </c>
      <c r="C46">
        <f>SUMIFS(E:E,B:B,"Team 3*")+SUMIFS(C:C,D:D,"Team 3*")+SUMIFS(J:J,G:G,"Team 3*")+SUMIFS(H:H,I:I,"Team 3*")</f>
        <v/>
      </c>
    </row>
    <row r="47">
      <c r="A47" t="inlineStr">
        <is>
          <t>Team 4</t>
        </is>
      </c>
      <c r="B47">
        <f>SUMIFS(C:C,B:B,"Team 4*")+SUMIFS(E:E,D:D,"Team 4*")+SUMIFS(H:H,G:G,"Team 4*")+SUMIFS(J:J,I:I,"Team 4*")</f>
        <v/>
      </c>
      <c r="C47">
        <f>SUMIFS(E:E,B:B,"Team 4*")+SUMIFS(C:C,D:D,"Team 4*")+SUMIFS(J:J,G:G,"Team 4*")+SUMIFS(H:H,I:I,"Team 4*")</f>
        <v/>
      </c>
    </row>
    <row r="48">
      <c r="A48" t="inlineStr">
        <is>
          <t>Team 5</t>
        </is>
      </c>
      <c r="B48">
        <f>SUMIFS(C:C,B:B,"Team 5*")+SUMIFS(E:E,D:D,"Team 5*")+SUMIFS(H:H,G:G,"Team 5*")+SUMIFS(J:J,I:I,"Team 5*")</f>
        <v/>
      </c>
      <c r="C48">
        <f>SUMIFS(E:E,B:B,"Team 5*")+SUMIFS(C:C,D:D,"Team 5*")+SUMIFS(J:J,G:G,"Team 5*")+SUMIFS(H:H,I:I,"Team 5*")</f>
        <v/>
      </c>
    </row>
    <row r="49">
      <c r="A49" t="inlineStr">
        <is>
          <t>Team 6</t>
        </is>
      </c>
      <c r="B49">
        <f>SUMIFS(C:C,B:B,"Team 6*")+SUMIFS(E:E,D:D,"Team 6*")+SUMIFS(H:H,G:G,"Team 6*")+SUMIFS(J:J,I:I,"Team 6*")</f>
        <v/>
      </c>
      <c r="C49">
        <f>SUMIFS(E:E,B:B,"Team 6*")+SUMIFS(C:C,D:D,"Team 6*")+SUMIFS(J:J,G:G,"Team 6*")+SUMIFS(H:H,I:I,"Team 6*")</f>
        <v/>
      </c>
    </row>
    <row r="50">
      <c r="A50" t="inlineStr">
        <is>
          <t>Team 7</t>
        </is>
      </c>
      <c r="B50">
        <f>SUMIFS(C:C,B:B,"Team 7*")+SUMIFS(E:E,D:D,"Team 7*")+SUMIFS(H:H,G:G,"Team 7*")+SUMIFS(J:J,I:I,"Team 7*")</f>
        <v/>
      </c>
      <c r="C50">
        <f>SUMIFS(E:E,B:B,"Team 7*")+SUMIFS(C:C,D:D,"Team 7*")+SUMIFS(J:J,G:G,"Team 7*")+SUMIFS(H:H,I:I,"Team 7*")</f>
        <v/>
      </c>
    </row>
    <row r="51">
      <c r="A51" t="inlineStr">
        <is>
          <t>Team 8</t>
        </is>
      </c>
      <c r="B51">
        <f>SUMIFS(C:C,B:B,"Team 8*")+SUMIFS(E:E,D:D,"Team 8*")+SUMIFS(H:H,G:G,"Team 8*")+SUMIFS(J:J,I:I,"Team 8*")</f>
        <v/>
      </c>
      <c r="C51">
        <f>SUMIFS(E:E,B:B,"Team 8*")+SUMIFS(C:C,D:D,"Team 8*")+SUMIFS(J:J,G:G,"Team 8*")+SUMIFS(H:H,I:I,"Team 8*")</f>
        <v/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Court 1</t>
        </is>
      </c>
      <c r="G1" t="inlineStr">
        <is>
          <t>Court 2</t>
        </is>
      </c>
    </row>
    <row r="2">
      <c r="A2" t="inlineStr">
        <is>
          <t>Round 01</t>
        </is>
      </c>
      <c r="B2" t="inlineStr">
        <is>
          <t>Team 2</t>
        </is>
      </c>
      <c r="D2" t="inlineStr">
        <is>
          <t>Team 1</t>
        </is>
      </c>
      <c r="G2" t="inlineStr">
        <is>
          <t>Team 3</t>
        </is>
      </c>
      <c r="I2" t="inlineStr">
        <is>
          <t>Team 4</t>
        </is>
      </c>
    </row>
    <row r="3">
      <c r="B3" t="inlineStr">
        <is>
          <t>Ref</t>
        </is>
      </c>
      <c r="F3" t="inlineStr">
        <is>
          <t>Team 5</t>
        </is>
      </c>
      <c r="G3" t="inlineStr">
        <is>
          <t>Ref</t>
        </is>
      </c>
      <c r="K3" t="inlineStr">
        <is>
          <t>Team 6</t>
        </is>
      </c>
      <c r="L3" t="inlineStr">
        <is>
          <t>Off: Team 7, Team 8</t>
        </is>
      </c>
    </row>
    <row r="4">
      <c r="A4" t="inlineStr">
        <is>
          <t>Round 02</t>
        </is>
      </c>
      <c r="B4" t="inlineStr">
        <is>
          <t>Team 5</t>
        </is>
      </c>
      <c r="D4" t="inlineStr">
        <is>
          <t>Team 6</t>
        </is>
      </c>
      <c r="G4" t="inlineStr">
        <is>
          <t>Team 7</t>
        </is>
      </c>
      <c r="I4" t="inlineStr">
        <is>
          <t>Team 8</t>
        </is>
      </c>
    </row>
    <row r="5">
      <c r="B5" t="inlineStr">
        <is>
          <t>Ref</t>
        </is>
      </c>
      <c r="F5" t="inlineStr">
        <is>
          <t>Team 1</t>
        </is>
      </c>
      <c r="G5" t="inlineStr">
        <is>
          <t>Ref</t>
        </is>
      </c>
      <c r="K5" t="inlineStr">
        <is>
          <t>Team 2</t>
        </is>
      </c>
      <c r="L5" t="inlineStr">
        <is>
          <t>Off: Team 3, Team 4</t>
        </is>
      </c>
    </row>
    <row r="6">
      <c r="A6" t="inlineStr">
        <is>
          <t>Round 03</t>
        </is>
      </c>
      <c r="B6" t="inlineStr">
        <is>
          <t>Team 1</t>
        </is>
      </c>
      <c r="D6" t="inlineStr">
        <is>
          <t>Team 3</t>
        </is>
      </c>
      <c r="G6" t="inlineStr">
        <is>
          <t>Team 2</t>
        </is>
      </c>
      <c r="I6" t="inlineStr">
        <is>
          <t>Team 4</t>
        </is>
      </c>
    </row>
    <row r="7">
      <c r="B7" t="inlineStr">
        <is>
          <t>Ref</t>
        </is>
      </c>
      <c r="F7" t="inlineStr">
        <is>
          <t>Team 7</t>
        </is>
      </c>
      <c r="G7" t="inlineStr">
        <is>
          <t>Ref</t>
        </is>
      </c>
      <c r="K7" t="inlineStr">
        <is>
          <t>Team 8</t>
        </is>
      </c>
      <c r="L7" t="inlineStr">
        <is>
          <t>Off: Team 5, Team 6</t>
        </is>
      </c>
    </row>
    <row r="8">
      <c r="A8" t="inlineStr">
        <is>
          <t>Round 04</t>
        </is>
      </c>
      <c r="B8" t="inlineStr">
        <is>
          <t>Team 7</t>
        </is>
      </c>
      <c r="D8" t="inlineStr">
        <is>
          <t>Team 5</t>
        </is>
      </c>
      <c r="G8" t="inlineStr">
        <is>
          <t>Team 6</t>
        </is>
      </c>
      <c r="I8" t="inlineStr">
        <is>
          <t>Team 8</t>
        </is>
      </c>
    </row>
    <row r="9">
      <c r="B9" t="inlineStr">
        <is>
          <t>Ref</t>
        </is>
      </c>
      <c r="F9" t="inlineStr">
        <is>
          <t>Team 3</t>
        </is>
      </c>
      <c r="G9" t="inlineStr">
        <is>
          <t>Ref</t>
        </is>
      </c>
      <c r="K9" t="inlineStr">
        <is>
          <t>Team 4</t>
        </is>
      </c>
      <c r="L9" t="inlineStr">
        <is>
          <t>Off: Team 1, Team 2</t>
        </is>
      </c>
    </row>
    <row r="10">
      <c r="A10" t="inlineStr">
        <is>
          <t>Round 05</t>
        </is>
      </c>
      <c r="B10" t="inlineStr">
        <is>
          <t>Team 4</t>
        </is>
      </c>
      <c r="D10" t="inlineStr">
        <is>
          <t>Team 1</t>
        </is>
      </c>
      <c r="G10" t="inlineStr">
        <is>
          <t>Team 2</t>
        </is>
      </c>
      <c r="I10" t="inlineStr">
        <is>
          <t>Team 3</t>
        </is>
      </c>
    </row>
    <row r="11">
      <c r="B11" t="inlineStr">
        <is>
          <t>Ref</t>
        </is>
      </c>
      <c r="F11" t="inlineStr">
        <is>
          <t>Team 5</t>
        </is>
      </c>
      <c r="G11" t="inlineStr">
        <is>
          <t>Ref</t>
        </is>
      </c>
      <c r="K11" t="inlineStr">
        <is>
          <t>Team 6</t>
        </is>
      </c>
      <c r="L11" t="inlineStr">
        <is>
          <t>Off: Team 7, Team 8</t>
        </is>
      </c>
    </row>
    <row r="12">
      <c r="A12" t="inlineStr">
        <is>
          <t>Round 06</t>
        </is>
      </c>
      <c r="B12" t="inlineStr">
        <is>
          <t>Team 5</t>
        </is>
      </c>
      <c r="D12" t="inlineStr">
        <is>
          <t>Team 8</t>
        </is>
      </c>
      <c r="G12" t="inlineStr">
        <is>
          <t>Team 7</t>
        </is>
      </c>
      <c r="I12" t="inlineStr">
        <is>
          <t>Team 6</t>
        </is>
      </c>
    </row>
    <row r="13">
      <c r="B13" t="inlineStr">
        <is>
          <t>Ref</t>
        </is>
      </c>
      <c r="F13" t="inlineStr">
        <is>
          <t>Team 1</t>
        </is>
      </c>
      <c r="G13" t="inlineStr">
        <is>
          <t>Ref</t>
        </is>
      </c>
      <c r="K13" t="inlineStr">
        <is>
          <t>Team 2</t>
        </is>
      </c>
      <c r="L13" t="inlineStr">
        <is>
          <t>Off: Team 3, Team 4</t>
        </is>
      </c>
    </row>
    <row r="14">
      <c r="A14" t="inlineStr">
        <is>
          <t>Round 07</t>
        </is>
      </c>
      <c r="B14" t="inlineStr">
        <is>
          <t>Team 1</t>
        </is>
      </c>
      <c r="D14" t="inlineStr">
        <is>
          <t>Team 4</t>
        </is>
      </c>
      <c r="G14" t="inlineStr">
        <is>
          <t>Team 5</t>
        </is>
      </c>
      <c r="I14" t="inlineStr">
        <is>
          <t>Team 2</t>
        </is>
      </c>
    </row>
    <row r="15">
      <c r="B15" t="inlineStr">
        <is>
          <t>Ref</t>
        </is>
      </c>
      <c r="F15" t="inlineStr">
        <is>
          <t>Team 3</t>
        </is>
      </c>
      <c r="G15" t="inlineStr">
        <is>
          <t>Ref</t>
        </is>
      </c>
      <c r="K15" t="inlineStr">
        <is>
          <t>Team 7</t>
        </is>
      </c>
      <c r="L15" t="inlineStr">
        <is>
          <t>Off: Team 6, Team 8</t>
        </is>
      </c>
    </row>
    <row r="16">
      <c r="A16" t="inlineStr">
        <is>
          <t>Round 08</t>
        </is>
      </c>
      <c r="B16" t="inlineStr">
        <is>
          <t>Team 3</t>
        </is>
      </c>
      <c r="D16" t="inlineStr">
        <is>
          <t>Team 7</t>
        </is>
      </c>
      <c r="G16" t="inlineStr">
        <is>
          <t>Team 8</t>
        </is>
      </c>
      <c r="I16" t="inlineStr">
        <is>
          <t>Team 6</t>
        </is>
      </c>
    </row>
    <row r="17">
      <c r="B17" t="inlineStr">
        <is>
          <t>Ref</t>
        </is>
      </c>
      <c r="F17" t="inlineStr">
        <is>
          <t>Team 4</t>
        </is>
      </c>
      <c r="G17" t="inlineStr">
        <is>
          <t>Ref</t>
        </is>
      </c>
      <c r="K17" t="inlineStr">
        <is>
          <t>Team 1</t>
        </is>
      </c>
      <c r="L17" t="inlineStr">
        <is>
          <t>Off: Team 2, Team 5</t>
        </is>
      </c>
    </row>
    <row r="18">
      <c r="A18" t="inlineStr">
        <is>
          <t>Round 09</t>
        </is>
      </c>
      <c r="B18" t="inlineStr">
        <is>
          <t>Team 1</t>
        </is>
      </c>
      <c r="D18" t="inlineStr">
        <is>
          <t>Team 5</t>
        </is>
      </c>
      <c r="G18" t="inlineStr">
        <is>
          <t>Team 4</t>
        </is>
      </c>
      <c r="I18" t="inlineStr">
        <is>
          <t>Team 2</t>
        </is>
      </c>
    </row>
    <row r="19">
      <c r="B19" t="inlineStr">
        <is>
          <t>Ref</t>
        </is>
      </c>
      <c r="F19" t="inlineStr">
        <is>
          <t>Team 8</t>
        </is>
      </c>
      <c r="G19" t="inlineStr">
        <is>
          <t>Ref</t>
        </is>
      </c>
      <c r="K19" t="inlineStr">
        <is>
          <t>Team 3</t>
        </is>
      </c>
      <c r="L19" t="inlineStr">
        <is>
          <t>Off: Team 6, Team 7</t>
        </is>
      </c>
    </row>
    <row r="20">
      <c r="A20" t="inlineStr">
        <is>
          <t>Round 10</t>
        </is>
      </c>
      <c r="B20" t="inlineStr">
        <is>
          <t>Team 8</t>
        </is>
      </c>
      <c r="D20" t="inlineStr">
        <is>
          <t>Team 3</t>
        </is>
      </c>
      <c r="G20" t="inlineStr">
        <is>
          <t>Team 6</t>
        </is>
      </c>
      <c r="I20" t="inlineStr">
        <is>
          <t>Team 7</t>
        </is>
      </c>
    </row>
    <row r="21">
      <c r="B21" t="inlineStr">
        <is>
          <t>Ref</t>
        </is>
      </c>
      <c r="F21" t="inlineStr">
        <is>
          <t>Team 2</t>
        </is>
      </c>
      <c r="G21" t="inlineStr">
        <is>
          <t>Ref</t>
        </is>
      </c>
      <c r="K21" t="inlineStr">
        <is>
          <t>Team 4</t>
        </is>
      </c>
      <c r="L21" t="inlineStr">
        <is>
          <t>Off: Team 1, Team 5</t>
        </is>
      </c>
    </row>
    <row r="22">
      <c r="A22" t="inlineStr">
        <is>
          <t>Round 11</t>
        </is>
      </c>
      <c r="B22" t="inlineStr">
        <is>
          <t>Team 5</t>
        </is>
      </c>
      <c r="D22" t="inlineStr">
        <is>
          <t>Team 1</t>
        </is>
      </c>
      <c r="G22" t="inlineStr">
        <is>
          <t>Team 6</t>
        </is>
      </c>
      <c r="I22" t="inlineStr">
        <is>
          <t>Team 2</t>
        </is>
      </c>
    </row>
    <row r="23">
      <c r="B23" t="inlineStr">
        <is>
          <t>Ref</t>
        </is>
      </c>
      <c r="F23" t="inlineStr">
        <is>
          <t>Team 7</t>
        </is>
      </c>
      <c r="G23" t="inlineStr">
        <is>
          <t>Ref</t>
        </is>
      </c>
      <c r="K23" t="inlineStr">
        <is>
          <t>Team 8</t>
        </is>
      </c>
      <c r="L23" t="inlineStr">
        <is>
          <t>Off: Team 3, Team 4</t>
        </is>
      </c>
    </row>
    <row r="24">
      <c r="A24" t="inlineStr">
        <is>
          <t>Round 12</t>
        </is>
      </c>
      <c r="B24" t="inlineStr">
        <is>
          <t>Team 7</t>
        </is>
      </c>
      <c r="D24" t="inlineStr">
        <is>
          <t>Team 3</t>
        </is>
      </c>
      <c r="G24" t="inlineStr">
        <is>
          <t>Team 4</t>
        </is>
      </c>
      <c r="I24" t="inlineStr">
        <is>
          <t>Team 8</t>
        </is>
      </c>
    </row>
    <row r="25">
      <c r="B25" t="inlineStr">
        <is>
          <t>Ref</t>
        </is>
      </c>
      <c r="F25" t="inlineStr">
        <is>
          <t>Team 5</t>
        </is>
      </c>
      <c r="G25" t="inlineStr">
        <is>
          <t>Ref</t>
        </is>
      </c>
      <c r="K25" t="inlineStr">
        <is>
          <t>Team 6</t>
        </is>
      </c>
      <c r="L25" t="inlineStr">
        <is>
          <t>Off: Team 1, Team 2</t>
        </is>
      </c>
    </row>
    <row r="26">
      <c r="A26" t="inlineStr">
        <is>
          <t>Round 13</t>
        </is>
      </c>
      <c r="B26" t="inlineStr">
        <is>
          <t>Team 6</t>
        </is>
      </c>
      <c r="D26" t="inlineStr">
        <is>
          <t>Team 1</t>
        </is>
      </c>
      <c r="G26" t="inlineStr">
        <is>
          <t>Team 2</t>
        </is>
      </c>
      <c r="I26" t="inlineStr">
        <is>
          <t>Team 5</t>
        </is>
      </c>
    </row>
    <row r="27">
      <c r="B27" t="inlineStr">
        <is>
          <t>Ref</t>
        </is>
      </c>
      <c r="F27" t="inlineStr">
        <is>
          <t>Team 3</t>
        </is>
      </c>
      <c r="G27" t="inlineStr">
        <is>
          <t>Ref</t>
        </is>
      </c>
      <c r="K27" t="inlineStr">
        <is>
          <t>Team 4</t>
        </is>
      </c>
      <c r="L27" t="inlineStr">
        <is>
          <t>Off: Team 7, Team 8</t>
        </is>
      </c>
    </row>
    <row r="28">
      <c r="A28" t="inlineStr">
        <is>
          <t>Round 14</t>
        </is>
      </c>
      <c r="B28" t="inlineStr">
        <is>
          <t>Team 3</t>
        </is>
      </c>
      <c r="D28" t="inlineStr">
        <is>
          <t>Team 8</t>
        </is>
      </c>
      <c r="G28" t="inlineStr">
        <is>
          <t>Team 4</t>
        </is>
      </c>
      <c r="I28" t="inlineStr">
        <is>
          <t>Team 7</t>
        </is>
      </c>
    </row>
    <row r="29">
      <c r="B29" t="inlineStr">
        <is>
          <t>Ref</t>
        </is>
      </c>
      <c r="F29" t="inlineStr">
        <is>
          <t>Team 1</t>
        </is>
      </c>
      <c r="G29" t="inlineStr">
        <is>
          <t>Ref</t>
        </is>
      </c>
      <c r="K29" t="inlineStr">
        <is>
          <t>Team 2</t>
        </is>
      </c>
      <c r="L29" t="inlineStr">
        <is>
          <t>Off: Team 5, Team 6</t>
        </is>
      </c>
    </row>
    <row r="30">
      <c r="A30" t="inlineStr">
        <is>
          <t>Round 15</t>
        </is>
      </c>
      <c r="B30" t="inlineStr">
        <is>
          <t>Team 1</t>
        </is>
      </c>
      <c r="D30" t="inlineStr">
        <is>
          <t>Team 6</t>
        </is>
      </c>
      <c r="G30" t="inlineStr">
        <is>
          <t>Team 7</t>
        </is>
      </c>
      <c r="I30" t="inlineStr">
        <is>
          <t>Team 2</t>
        </is>
      </c>
    </row>
    <row r="31">
      <c r="B31" t="inlineStr">
        <is>
          <t>Ref</t>
        </is>
      </c>
      <c r="F31" t="inlineStr">
        <is>
          <t>Team 5</t>
        </is>
      </c>
      <c r="G31" t="inlineStr">
        <is>
          <t>Ref</t>
        </is>
      </c>
      <c r="K31" t="inlineStr">
        <is>
          <t>Team 8</t>
        </is>
      </c>
      <c r="L31" t="inlineStr">
        <is>
          <t>Off: Team 3, Team 4</t>
        </is>
      </c>
    </row>
    <row r="32">
      <c r="A32" t="inlineStr">
        <is>
          <t>Round 16</t>
        </is>
      </c>
      <c r="B32" t="inlineStr">
        <is>
          <t>Team 3</t>
        </is>
      </c>
      <c r="D32" t="inlineStr">
        <is>
          <t>Team 5</t>
        </is>
      </c>
      <c r="G32" t="inlineStr">
        <is>
          <t>Team 8</t>
        </is>
      </c>
      <c r="I32" t="inlineStr">
        <is>
          <t>Team 4</t>
        </is>
      </c>
    </row>
    <row r="33">
      <c r="B33" t="inlineStr">
        <is>
          <t>Ref</t>
        </is>
      </c>
      <c r="F33" t="inlineStr">
        <is>
          <t>Team 6</t>
        </is>
      </c>
      <c r="G33" t="inlineStr">
        <is>
          <t>Ref</t>
        </is>
      </c>
      <c r="K33" t="inlineStr">
        <is>
          <t>Team 7</t>
        </is>
      </c>
      <c r="L33" t="inlineStr">
        <is>
          <t>Off: Team 1, Team 2</t>
        </is>
      </c>
    </row>
    <row r="34">
      <c r="A34" t="inlineStr">
        <is>
          <t>Round 17</t>
        </is>
      </c>
      <c r="B34" t="inlineStr">
        <is>
          <t>Team 1</t>
        </is>
      </c>
      <c r="D34" t="inlineStr">
        <is>
          <t>Team 7</t>
        </is>
      </c>
      <c r="G34" t="inlineStr">
        <is>
          <t>Team 8</t>
        </is>
      </c>
      <c r="I34" t="inlineStr">
        <is>
          <t>Team 2</t>
        </is>
      </c>
    </row>
    <row r="35">
      <c r="B35" t="inlineStr">
        <is>
          <t>Ref</t>
        </is>
      </c>
      <c r="F35" t="inlineStr">
        <is>
          <t>Team 3</t>
        </is>
      </c>
      <c r="G35" t="inlineStr">
        <is>
          <t>Ref</t>
        </is>
      </c>
      <c r="K35" t="inlineStr">
        <is>
          <t>Team 4</t>
        </is>
      </c>
      <c r="L35" t="inlineStr">
        <is>
          <t>Off: Team 5, Team 6</t>
        </is>
      </c>
    </row>
    <row r="36">
      <c r="A36" t="inlineStr">
        <is>
          <t>Round 18</t>
        </is>
      </c>
      <c r="B36" t="inlineStr">
        <is>
          <t>Team 5</t>
        </is>
      </c>
      <c r="D36" t="inlineStr">
        <is>
          <t>Team 3</t>
        </is>
      </c>
      <c r="G36" t="inlineStr">
        <is>
          <t>Team 6</t>
        </is>
      </c>
      <c r="I36" t="inlineStr">
        <is>
          <t>Team 4</t>
        </is>
      </c>
    </row>
    <row r="37">
      <c r="B37" t="inlineStr">
        <is>
          <t>Ref</t>
        </is>
      </c>
      <c r="F37" t="inlineStr">
        <is>
          <t>Team 1</t>
        </is>
      </c>
      <c r="G37" t="inlineStr">
        <is>
          <t>Ref</t>
        </is>
      </c>
      <c r="K37" t="inlineStr">
        <is>
          <t>Team 2</t>
        </is>
      </c>
      <c r="L37" t="inlineStr">
        <is>
          <t>Off: Team 7, Team 8</t>
        </is>
      </c>
    </row>
    <row r="38">
      <c r="A38" t="inlineStr">
        <is>
          <t>Round 19</t>
        </is>
      </c>
      <c r="B38" t="inlineStr">
        <is>
          <t>Team 8</t>
        </is>
      </c>
      <c r="D38" t="inlineStr">
        <is>
          <t>Team 1</t>
        </is>
      </c>
      <c r="G38" t="inlineStr">
        <is>
          <t>Team 2</t>
        </is>
      </c>
      <c r="I38" t="inlineStr">
        <is>
          <t>Team 7</t>
        </is>
      </c>
    </row>
    <row r="39">
      <c r="B39" t="inlineStr">
        <is>
          <t>Ref</t>
        </is>
      </c>
      <c r="F39" t="inlineStr">
        <is>
          <t>Team 5</t>
        </is>
      </c>
      <c r="G39" t="inlineStr">
        <is>
          <t>Ref</t>
        </is>
      </c>
      <c r="K39" t="inlineStr">
        <is>
          <t>Team 6</t>
        </is>
      </c>
      <c r="L39" t="inlineStr">
        <is>
          <t>Off: Team 3, Team 4</t>
        </is>
      </c>
    </row>
    <row r="40">
      <c r="A40" t="inlineStr">
        <is>
          <t>Round 20</t>
        </is>
      </c>
      <c r="B40" t="inlineStr">
        <is>
          <t>Team 3</t>
        </is>
      </c>
      <c r="D40" t="inlineStr">
        <is>
          <t>Team 6</t>
        </is>
      </c>
      <c r="G40" t="inlineStr">
        <is>
          <t>Team 4</t>
        </is>
      </c>
      <c r="I40" t="inlineStr">
        <is>
          <t>Team 5</t>
        </is>
      </c>
    </row>
    <row r="41">
      <c r="B41" t="inlineStr">
        <is>
          <t>Ref</t>
        </is>
      </c>
      <c r="F41" t="inlineStr">
        <is>
          <t>Team 7</t>
        </is>
      </c>
      <c r="G41" t="inlineStr">
        <is>
          <t>Ref</t>
        </is>
      </c>
      <c r="K41" t="inlineStr">
        <is>
          <t>Team 8</t>
        </is>
      </c>
      <c r="L41" t="inlineStr">
        <is>
          <t>Off: Team 1, Team 2</t>
        </is>
      </c>
    </row>
    <row r="42">
      <c r="A42" t="inlineStr">
        <is>
          <t>Team Wins/Losses This Week</t>
        </is>
      </c>
    </row>
    <row r="43">
      <c r="A43" t="inlineStr">
        <is>
          <t>Team Name</t>
        </is>
      </c>
      <c r="B43" t="inlineStr">
        <is>
          <t>Wins</t>
        </is>
      </c>
      <c r="C43" t="inlineStr">
        <is>
          <t>Losses</t>
        </is>
      </c>
    </row>
    <row r="44">
      <c r="A44" t="inlineStr">
        <is>
          <t>Team 1</t>
        </is>
      </c>
      <c r="B44">
        <f>SUMIFS(C:C,B:B,"Team 1*")+SUMIFS(E:E,D:D,"Team 1*")+SUMIFS(H:H,G:G,"Team 1*")+SUMIFS(J:J,I:I,"Team 1*")</f>
        <v/>
      </c>
      <c r="C44">
        <f>SUMIFS(E:E,B:B,"Team 1*")+SUMIFS(C:C,D:D,"Team 1*")+SUMIFS(J:J,G:G,"Team 1*")+SUMIFS(H:H,I:I,"Team 1*")</f>
        <v/>
      </c>
    </row>
    <row r="45">
      <c r="A45" t="inlineStr">
        <is>
          <t>Team 2</t>
        </is>
      </c>
      <c r="B45">
        <f>SUMIFS(C:C,B:B,"Team 2*")+SUMIFS(E:E,D:D,"Team 2*")+SUMIFS(H:H,G:G,"Team 2*")+SUMIFS(J:J,I:I,"Team 2*")</f>
        <v/>
      </c>
      <c r="C45">
        <f>SUMIFS(E:E,B:B,"Team 2*")+SUMIFS(C:C,D:D,"Team 2*")+SUMIFS(J:J,G:G,"Team 2*")+SUMIFS(H:H,I:I,"Team 2*")</f>
        <v/>
      </c>
    </row>
    <row r="46">
      <c r="A46" t="inlineStr">
        <is>
          <t>Team 3</t>
        </is>
      </c>
      <c r="B46">
        <f>SUMIFS(C:C,B:B,"Team 3*")+SUMIFS(E:E,D:D,"Team 3*")+SUMIFS(H:H,G:G,"Team 3*")+SUMIFS(J:J,I:I,"Team 3*")</f>
        <v/>
      </c>
      <c r="C46">
        <f>SUMIFS(E:E,B:B,"Team 3*")+SUMIFS(C:C,D:D,"Team 3*")+SUMIFS(J:J,G:G,"Team 3*")+SUMIFS(H:H,I:I,"Team 3*")</f>
        <v/>
      </c>
    </row>
    <row r="47">
      <c r="A47" t="inlineStr">
        <is>
          <t>Team 4</t>
        </is>
      </c>
      <c r="B47">
        <f>SUMIFS(C:C,B:B,"Team 4*")+SUMIFS(E:E,D:D,"Team 4*")+SUMIFS(H:H,G:G,"Team 4*")+SUMIFS(J:J,I:I,"Team 4*")</f>
        <v/>
      </c>
      <c r="C47">
        <f>SUMIFS(E:E,B:B,"Team 4*")+SUMIFS(C:C,D:D,"Team 4*")+SUMIFS(J:J,G:G,"Team 4*")+SUMIFS(H:H,I:I,"Team 4*")</f>
        <v/>
      </c>
    </row>
    <row r="48">
      <c r="A48" t="inlineStr">
        <is>
          <t>Team 5</t>
        </is>
      </c>
      <c r="B48">
        <f>SUMIFS(C:C,B:B,"Team 5*")+SUMIFS(E:E,D:D,"Team 5*")+SUMIFS(H:H,G:G,"Team 5*")+SUMIFS(J:J,I:I,"Team 5*")</f>
        <v/>
      </c>
      <c r="C48">
        <f>SUMIFS(E:E,B:B,"Team 5*")+SUMIFS(C:C,D:D,"Team 5*")+SUMIFS(J:J,G:G,"Team 5*")+SUMIFS(H:H,I:I,"Team 5*")</f>
        <v/>
      </c>
    </row>
    <row r="49">
      <c r="A49" t="inlineStr">
        <is>
          <t>Team 6</t>
        </is>
      </c>
      <c r="B49">
        <f>SUMIFS(C:C,B:B,"Team 6*")+SUMIFS(E:E,D:D,"Team 6*")+SUMIFS(H:H,G:G,"Team 6*")+SUMIFS(J:J,I:I,"Team 6*")</f>
        <v/>
      </c>
      <c r="C49">
        <f>SUMIFS(E:E,B:B,"Team 6*")+SUMIFS(C:C,D:D,"Team 6*")+SUMIFS(J:J,G:G,"Team 6*")+SUMIFS(H:H,I:I,"Team 6*")</f>
        <v/>
      </c>
    </row>
    <row r="50">
      <c r="A50" t="inlineStr">
        <is>
          <t>Team 7</t>
        </is>
      </c>
      <c r="B50">
        <f>SUMIFS(C:C,B:B,"Team 7*")+SUMIFS(E:E,D:D,"Team 7*")+SUMIFS(H:H,G:G,"Team 7*")+SUMIFS(J:J,I:I,"Team 7*")</f>
        <v/>
      </c>
      <c r="C50">
        <f>SUMIFS(E:E,B:B,"Team 7*")+SUMIFS(C:C,D:D,"Team 7*")+SUMIFS(J:J,G:G,"Team 7*")+SUMIFS(H:H,I:I,"Team 7*")</f>
        <v/>
      </c>
    </row>
    <row r="51">
      <c r="A51" t="inlineStr">
        <is>
          <t>Team 8</t>
        </is>
      </c>
      <c r="B51">
        <f>SUMIFS(C:C,B:B,"Team 8*")+SUMIFS(E:E,D:D,"Team 8*")+SUMIFS(H:H,G:G,"Team 8*")+SUMIFS(J:J,I:I,"Team 8*")</f>
        <v/>
      </c>
      <c r="C51">
        <f>SUMIFS(E:E,B:B,"Team 8*")+SUMIFS(C:C,D:D,"Team 8*")+SUMIFS(J:J,G:G,"Team 8*")+SUMIFS(H:H,I:I,"Team 8*")</f>
        <v/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Court 1</t>
        </is>
      </c>
      <c r="G1" t="inlineStr">
        <is>
          <t>Court 2</t>
        </is>
      </c>
    </row>
    <row r="2">
      <c r="A2" t="inlineStr">
        <is>
          <t>Round 01</t>
        </is>
      </c>
      <c r="B2" t="inlineStr">
        <is>
          <t>Team 2</t>
        </is>
      </c>
      <c r="D2" t="inlineStr">
        <is>
          <t>Team 1</t>
        </is>
      </c>
      <c r="G2" t="inlineStr">
        <is>
          <t>Team 3</t>
        </is>
      </c>
      <c r="I2" t="inlineStr">
        <is>
          <t>Team 4</t>
        </is>
      </c>
    </row>
    <row r="3">
      <c r="B3" t="inlineStr">
        <is>
          <t>Ref</t>
        </is>
      </c>
      <c r="F3" t="inlineStr">
        <is>
          <t>Team 5</t>
        </is>
      </c>
      <c r="G3" t="inlineStr">
        <is>
          <t>Ref</t>
        </is>
      </c>
      <c r="K3" t="inlineStr">
        <is>
          <t>Team 6</t>
        </is>
      </c>
      <c r="L3" t="inlineStr">
        <is>
          <t>Off: Team 7, Team 8</t>
        </is>
      </c>
    </row>
    <row r="4">
      <c r="A4" t="inlineStr">
        <is>
          <t>Round 02</t>
        </is>
      </c>
      <c r="B4" t="inlineStr">
        <is>
          <t>Team 6</t>
        </is>
      </c>
      <c r="D4" t="inlineStr">
        <is>
          <t>Team 5</t>
        </is>
      </c>
      <c r="G4" t="inlineStr">
        <is>
          <t>Team 7</t>
        </is>
      </c>
      <c r="I4" t="inlineStr">
        <is>
          <t>Team 8</t>
        </is>
      </c>
    </row>
    <row r="5">
      <c r="B5" t="inlineStr">
        <is>
          <t>Ref</t>
        </is>
      </c>
      <c r="F5" t="inlineStr">
        <is>
          <t>Team 1</t>
        </is>
      </c>
      <c r="G5" t="inlineStr">
        <is>
          <t>Ref</t>
        </is>
      </c>
      <c r="K5" t="inlineStr">
        <is>
          <t>Team 2</t>
        </is>
      </c>
      <c r="L5" t="inlineStr">
        <is>
          <t>Off: Team 3, Team 4</t>
        </is>
      </c>
    </row>
    <row r="6">
      <c r="A6" t="inlineStr">
        <is>
          <t>Round 03</t>
        </is>
      </c>
      <c r="B6" t="inlineStr">
        <is>
          <t>Team 2</t>
        </is>
      </c>
      <c r="D6" t="inlineStr">
        <is>
          <t>Team 1</t>
        </is>
      </c>
      <c r="G6" t="inlineStr">
        <is>
          <t>Team 4</t>
        </is>
      </c>
      <c r="I6" t="inlineStr">
        <is>
          <t>Team 3</t>
        </is>
      </c>
    </row>
    <row r="7">
      <c r="B7" t="inlineStr">
        <is>
          <t>Ref</t>
        </is>
      </c>
      <c r="F7" t="inlineStr">
        <is>
          <t>Team 7</t>
        </is>
      </c>
      <c r="G7" t="inlineStr">
        <is>
          <t>Ref</t>
        </is>
      </c>
      <c r="K7" t="inlineStr">
        <is>
          <t>Team 8</t>
        </is>
      </c>
      <c r="L7" t="inlineStr">
        <is>
          <t>Off: Team 5, Team 6</t>
        </is>
      </c>
    </row>
    <row r="8">
      <c r="A8" t="inlineStr">
        <is>
          <t>Round 04</t>
        </is>
      </c>
      <c r="B8" t="inlineStr">
        <is>
          <t>Team 7</t>
        </is>
      </c>
      <c r="D8" t="inlineStr">
        <is>
          <t>Team 5</t>
        </is>
      </c>
      <c r="G8" t="inlineStr">
        <is>
          <t>Team 6</t>
        </is>
      </c>
      <c r="I8" t="inlineStr">
        <is>
          <t>Team 8</t>
        </is>
      </c>
    </row>
    <row r="9">
      <c r="B9" t="inlineStr">
        <is>
          <t>Ref</t>
        </is>
      </c>
      <c r="F9" t="inlineStr">
        <is>
          <t>Team 3</t>
        </is>
      </c>
      <c r="G9" t="inlineStr">
        <is>
          <t>Ref</t>
        </is>
      </c>
      <c r="K9" t="inlineStr">
        <is>
          <t>Team 4</t>
        </is>
      </c>
      <c r="L9" t="inlineStr">
        <is>
          <t>Off: Team 1, Team 2</t>
        </is>
      </c>
    </row>
    <row r="10">
      <c r="A10" t="inlineStr">
        <is>
          <t>Round 05</t>
        </is>
      </c>
      <c r="B10" t="inlineStr">
        <is>
          <t>Team 1</t>
        </is>
      </c>
      <c r="D10" t="inlineStr">
        <is>
          <t>Team 3</t>
        </is>
      </c>
      <c r="G10" t="inlineStr">
        <is>
          <t>Team 2</t>
        </is>
      </c>
      <c r="I10" t="inlineStr">
        <is>
          <t>Team 4</t>
        </is>
      </c>
    </row>
    <row r="11">
      <c r="B11" t="inlineStr">
        <is>
          <t>Ref</t>
        </is>
      </c>
      <c r="F11" t="inlineStr">
        <is>
          <t>Team 5</t>
        </is>
      </c>
      <c r="G11" t="inlineStr">
        <is>
          <t>Ref</t>
        </is>
      </c>
      <c r="K11" t="inlineStr">
        <is>
          <t>Team 6</t>
        </is>
      </c>
      <c r="L11" t="inlineStr">
        <is>
          <t>Off: Team 7, Team 8</t>
        </is>
      </c>
    </row>
    <row r="12">
      <c r="A12" t="inlineStr">
        <is>
          <t>Round 06</t>
        </is>
      </c>
      <c r="B12" t="inlineStr">
        <is>
          <t>Team 8</t>
        </is>
      </c>
      <c r="D12" t="inlineStr">
        <is>
          <t>Team 5</t>
        </is>
      </c>
      <c r="G12" t="inlineStr">
        <is>
          <t>Team 7</t>
        </is>
      </c>
      <c r="I12" t="inlineStr">
        <is>
          <t>Team 6</t>
        </is>
      </c>
    </row>
    <row r="13">
      <c r="B13" t="inlineStr">
        <is>
          <t>Ref</t>
        </is>
      </c>
      <c r="F13" t="inlineStr">
        <is>
          <t>Team 1</t>
        </is>
      </c>
      <c r="G13" t="inlineStr">
        <is>
          <t>Ref</t>
        </is>
      </c>
      <c r="K13" t="inlineStr">
        <is>
          <t>Team 2</t>
        </is>
      </c>
      <c r="L13" t="inlineStr">
        <is>
          <t>Off: Team 3, Team 4</t>
        </is>
      </c>
    </row>
    <row r="14">
      <c r="A14" t="inlineStr">
        <is>
          <t>Round 07</t>
        </is>
      </c>
      <c r="B14" t="inlineStr">
        <is>
          <t>Team 4</t>
        </is>
      </c>
      <c r="D14" t="inlineStr">
        <is>
          <t>Team 1</t>
        </is>
      </c>
      <c r="G14" t="inlineStr">
        <is>
          <t>Team 3</t>
        </is>
      </c>
      <c r="I14" t="inlineStr">
        <is>
          <t>Team 2</t>
        </is>
      </c>
    </row>
    <row r="15">
      <c r="B15" t="inlineStr">
        <is>
          <t>Ref</t>
        </is>
      </c>
      <c r="F15" t="inlineStr">
        <is>
          <t>Team 7</t>
        </is>
      </c>
      <c r="G15" t="inlineStr">
        <is>
          <t>Ref</t>
        </is>
      </c>
      <c r="K15" t="inlineStr">
        <is>
          <t>Team 8</t>
        </is>
      </c>
      <c r="L15" t="inlineStr">
        <is>
          <t>Off: Team 5, Team 6</t>
        </is>
      </c>
    </row>
    <row r="16">
      <c r="A16" t="inlineStr">
        <is>
          <t>Round 08</t>
        </is>
      </c>
      <c r="B16" t="inlineStr">
        <is>
          <t>Team 5</t>
        </is>
      </c>
      <c r="D16" t="inlineStr">
        <is>
          <t>Team 1</t>
        </is>
      </c>
      <c r="G16" t="inlineStr">
        <is>
          <t>Team 8</t>
        </is>
      </c>
      <c r="I16" t="inlineStr">
        <is>
          <t>Team 7</t>
        </is>
      </c>
    </row>
    <row r="17">
      <c r="B17" t="inlineStr">
        <is>
          <t>Ref</t>
        </is>
      </c>
      <c r="F17" t="inlineStr">
        <is>
          <t>Team 3</t>
        </is>
      </c>
      <c r="G17" t="inlineStr">
        <is>
          <t>Ref</t>
        </is>
      </c>
      <c r="K17" t="inlineStr">
        <is>
          <t>Team 4</t>
        </is>
      </c>
      <c r="L17" t="inlineStr">
        <is>
          <t>Off: Team 2, Team 6</t>
        </is>
      </c>
    </row>
    <row r="18">
      <c r="A18" t="inlineStr">
        <is>
          <t>Round 09</t>
        </is>
      </c>
      <c r="B18" t="inlineStr">
        <is>
          <t>Team 5</t>
        </is>
      </c>
      <c r="D18" t="inlineStr">
        <is>
          <t>Team 2</t>
        </is>
      </c>
      <c r="G18" t="inlineStr">
        <is>
          <t>Team 3</t>
        </is>
      </c>
      <c r="I18" t="inlineStr">
        <is>
          <t>Team 6</t>
        </is>
      </c>
    </row>
    <row r="19">
      <c r="B19" t="inlineStr">
        <is>
          <t>Ref</t>
        </is>
      </c>
      <c r="F19" t="inlineStr">
        <is>
          <t>Team 1</t>
        </is>
      </c>
      <c r="G19" t="inlineStr">
        <is>
          <t>Ref</t>
        </is>
      </c>
      <c r="K19" t="inlineStr">
        <is>
          <t>Team 4</t>
        </is>
      </c>
      <c r="L19" t="inlineStr">
        <is>
          <t>Off: Team 7, Team 8</t>
        </is>
      </c>
    </row>
    <row r="20">
      <c r="A20" t="inlineStr">
        <is>
          <t>Round 10</t>
        </is>
      </c>
      <c r="B20" t="inlineStr">
        <is>
          <t>Team 1</t>
        </is>
      </c>
      <c r="D20" t="inlineStr">
        <is>
          <t>Team 6</t>
        </is>
      </c>
      <c r="G20" t="inlineStr">
        <is>
          <t>Team 7</t>
        </is>
      </c>
      <c r="I20" t="inlineStr">
        <is>
          <t>Team 4</t>
        </is>
      </c>
    </row>
    <row r="21">
      <c r="B21" t="inlineStr">
        <is>
          <t>Ref</t>
        </is>
      </c>
      <c r="F21" t="inlineStr">
        <is>
          <t>Team 2</t>
        </is>
      </c>
      <c r="G21" t="inlineStr">
        <is>
          <t>Ref</t>
        </is>
      </c>
      <c r="K21" t="inlineStr">
        <is>
          <t>Team 3</t>
        </is>
      </c>
      <c r="L21" t="inlineStr">
        <is>
          <t>Off: Team 5, Team 8</t>
        </is>
      </c>
    </row>
    <row r="22">
      <c r="A22" t="inlineStr">
        <is>
          <t>Round 11</t>
        </is>
      </c>
      <c r="B22" t="inlineStr">
        <is>
          <t>Team 6</t>
        </is>
      </c>
      <c r="D22" t="inlineStr">
        <is>
          <t>Team 2</t>
        </is>
      </c>
      <c r="G22" t="inlineStr">
        <is>
          <t>Team 8</t>
        </is>
      </c>
      <c r="I22" t="inlineStr">
        <is>
          <t>Team 3</t>
        </is>
      </c>
    </row>
    <row r="23">
      <c r="B23" t="inlineStr">
        <is>
          <t>Ref</t>
        </is>
      </c>
      <c r="F23" t="inlineStr">
        <is>
          <t>Team 5</t>
        </is>
      </c>
      <c r="G23" t="inlineStr">
        <is>
          <t>Ref</t>
        </is>
      </c>
      <c r="K23" t="inlineStr">
        <is>
          <t>Team 7</t>
        </is>
      </c>
      <c r="L23" t="inlineStr">
        <is>
          <t>Off: Team 1, Team 4</t>
        </is>
      </c>
    </row>
    <row r="24">
      <c r="A24" t="inlineStr">
        <is>
          <t>Round 12</t>
        </is>
      </c>
      <c r="B24" t="inlineStr">
        <is>
          <t>Team 4</t>
        </is>
      </c>
      <c r="D24" t="inlineStr">
        <is>
          <t>Team 8</t>
        </is>
      </c>
      <c r="G24" t="inlineStr">
        <is>
          <t>Team 5</t>
        </is>
      </c>
      <c r="I24" t="inlineStr">
        <is>
          <t>Team 7</t>
        </is>
      </c>
    </row>
    <row r="25">
      <c r="B25" t="inlineStr">
        <is>
          <t>Ref</t>
        </is>
      </c>
      <c r="F25" t="inlineStr">
        <is>
          <t>Team 6</t>
        </is>
      </c>
      <c r="G25" t="inlineStr">
        <is>
          <t>Ref</t>
        </is>
      </c>
      <c r="K25" t="inlineStr">
        <is>
          <t>Team 1</t>
        </is>
      </c>
      <c r="L25" t="inlineStr">
        <is>
          <t>Off: Team 2, Team 3</t>
        </is>
      </c>
    </row>
    <row r="26">
      <c r="A26" t="inlineStr">
        <is>
          <t>Round 13</t>
        </is>
      </c>
      <c r="B26" t="inlineStr">
        <is>
          <t>Team 1</t>
        </is>
      </c>
      <c r="D26" t="inlineStr">
        <is>
          <t>Team 7</t>
        </is>
      </c>
      <c r="G26" t="inlineStr">
        <is>
          <t>Team 2</t>
        </is>
      </c>
      <c r="I26" t="inlineStr">
        <is>
          <t>Team 6</t>
        </is>
      </c>
    </row>
    <row r="27">
      <c r="B27" t="inlineStr">
        <is>
          <t>Ref</t>
        </is>
      </c>
      <c r="F27" t="inlineStr">
        <is>
          <t>Team 8</t>
        </is>
      </c>
      <c r="G27" t="inlineStr">
        <is>
          <t>Ref</t>
        </is>
      </c>
      <c r="K27" t="inlineStr">
        <is>
          <t>Team 3</t>
        </is>
      </c>
      <c r="L27" t="inlineStr">
        <is>
          <t>Off: Team 4, Team 5</t>
        </is>
      </c>
    </row>
    <row r="28">
      <c r="A28" t="inlineStr">
        <is>
          <t>Round 14</t>
        </is>
      </c>
      <c r="B28" t="inlineStr">
        <is>
          <t>Team 1</t>
        </is>
      </c>
      <c r="D28" t="inlineStr">
        <is>
          <t>Team 8</t>
        </is>
      </c>
      <c r="G28" t="inlineStr">
        <is>
          <t>Team 5</t>
        </is>
      </c>
      <c r="I28" t="inlineStr">
        <is>
          <t>Team 3</t>
        </is>
      </c>
    </row>
    <row r="29">
      <c r="B29" t="inlineStr">
        <is>
          <t>Ref</t>
        </is>
      </c>
      <c r="F29" t="inlineStr">
        <is>
          <t>Team 2</t>
        </is>
      </c>
      <c r="G29" t="inlineStr">
        <is>
          <t>Ref</t>
        </is>
      </c>
      <c r="K29" t="inlineStr">
        <is>
          <t>Team 4</t>
        </is>
      </c>
      <c r="L29" t="inlineStr">
        <is>
          <t>Off: Team 6, Team 7</t>
        </is>
      </c>
    </row>
    <row r="30">
      <c r="A30" t="inlineStr">
        <is>
          <t>Round 15</t>
        </is>
      </c>
      <c r="B30" t="inlineStr">
        <is>
          <t>Team 7</t>
        </is>
      </c>
      <c r="D30" t="inlineStr">
        <is>
          <t>Team 2</t>
        </is>
      </c>
      <c r="G30" t="inlineStr">
        <is>
          <t>Team 4</t>
        </is>
      </c>
      <c r="I30" t="inlineStr">
        <is>
          <t>Team 5</t>
        </is>
      </c>
    </row>
    <row r="31">
      <c r="B31" t="inlineStr">
        <is>
          <t>Ref</t>
        </is>
      </c>
      <c r="F31" t="inlineStr">
        <is>
          <t>Team 6</t>
        </is>
      </c>
      <c r="G31" t="inlineStr">
        <is>
          <t>Ref</t>
        </is>
      </c>
      <c r="K31" t="inlineStr">
        <is>
          <t>Team 8</t>
        </is>
      </c>
      <c r="L31" t="inlineStr">
        <is>
          <t>Off: Team 1, Team 3</t>
        </is>
      </c>
    </row>
    <row r="32">
      <c r="A32" t="inlineStr">
        <is>
          <t>Round 16</t>
        </is>
      </c>
      <c r="B32" t="inlineStr">
        <is>
          <t>Team 8</t>
        </is>
      </c>
      <c r="D32" t="inlineStr">
        <is>
          <t>Team 1</t>
        </is>
      </c>
      <c r="G32" t="inlineStr">
        <is>
          <t>Team 6</t>
        </is>
      </c>
      <c r="I32" t="inlineStr">
        <is>
          <t>Team 3</t>
        </is>
      </c>
    </row>
    <row r="33">
      <c r="B33" t="inlineStr">
        <is>
          <t>Ref</t>
        </is>
      </c>
      <c r="F33" t="inlineStr">
        <is>
          <t>Team 5</t>
        </is>
      </c>
      <c r="G33" t="inlineStr">
        <is>
          <t>Ref</t>
        </is>
      </c>
      <c r="K33" t="inlineStr">
        <is>
          <t>Team 7</t>
        </is>
      </c>
      <c r="L33" t="inlineStr">
        <is>
          <t>Off: Team 2, Team 4</t>
        </is>
      </c>
    </row>
    <row r="34">
      <c r="A34" t="inlineStr">
        <is>
          <t>Round 17</t>
        </is>
      </c>
      <c r="B34" t="inlineStr">
        <is>
          <t>Team 8</t>
        </is>
      </c>
      <c r="D34" t="inlineStr">
        <is>
          <t>Team 2</t>
        </is>
      </c>
      <c r="G34" t="inlineStr">
        <is>
          <t>Team 5</t>
        </is>
      </c>
      <c r="I34" t="inlineStr">
        <is>
          <t>Team 4</t>
        </is>
      </c>
    </row>
    <row r="35">
      <c r="B35" t="inlineStr">
        <is>
          <t>Ref</t>
        </is>
      </c>
      <c r="F35" t="inlineStr">
        <is>
          <t>Team 1</t>
        </is>
      </c>
      <c r="G35" t="inlineStr">
        <is>
          <t>Ref</t>
        </is>
      </c>
      <c r="K35" t="inlineStr">
        <is>
          <t>Team 3</t>
        </is>
      </c>
      <c r="L35" t="inlineStr">
        <is>
          <t>Off: Team 6, Team 7</t>
        </is>
      </c>
    </row>
    <row r="36">
      <c r="A36" t="inlineStr">
        <is>
          <t>Round 18</t>
        </is>
      </c>
      <c r="B36" t="inlineStr">
        <is>
          <t>Team 3</t>
        </is>
      </c>
      <c r="D36" t="inlineStr">
        <is>
          <t>Team 7</t>
        </is>
      </c>
      <c r="G36" t="inlineStr">
        <is>
          <t>Team 6</t>
        </is>
      </c>
      <c r="I36" t="inlineStr">
        <is>
          <t>Team 4</t>
        </is>
      </c>
    </row>
    <row r="37">
      <c r="B37" t="inlineStr">
        <is>
          <t>Ref</t>
        </is>
      </c>
      <c r="F37" t="inlineStr">
        <is>
          <t>Team 2</t>
        </is>
      </c>
      <c r="G37" t="inlineStr">
        <is>
          <t>Ref</t>
        </is>
      </c>
      <c r="K37" t="inlineStr">
        <is>
          <t>Team 5</t>
        </is>
      </c>
      <c r="L37" t="inlineStr">
        <is>
          <t>Off: Team 1, Team 8</t>
        </is>
      </c>
    </row>
    <row r="38">
      <c r="A38" t="inlineStr">
        <is>
          <t>Round 19</t>
        </is>
      </c>
      <c r="B38" t="inlineStr">
        <is>
          <t>Team 1</t>
        </is>
      </c>
      <c r="D38" t="inlineStr">
        <is>
          <t>Team 7</t>
        </is>
      </c>
      <c r="G38" t="inlineStr">
        <is>
          <t>Team 2</t>
        </is>
      </c>
      <c r="I38" t="inlineStr">
        <is>
          <t>Team 8</t>
        </is>
      </c>
    </row>
    <row r="39">
      <c r="B39" t="inlineStr">
        <is>
          <t>Ref</t>
        </is>
      </c>
      <c r="F39" t="inlineStr">
        <is>
          <t>Team 4</t>
        </is>
      </c>
      <c r="G39" t="inlineStr">
        <is>
          <t>Ref</t>
        </is>
      </c>
      <c r="K39" t="inlineStr">
        <is>
          <t>Team 6</t>
        </is>
      </c>
      <c r="L39" t="inlineStr">
        <is>
          <t>Off: Team 3, Team 5</t>
        </is>
      </c>
    </row>
    <row r="40">
      <c r="A40" t="inlineStr">
        <is>
          <t>Round 20</t>
        </is>
      </c>
      <c r="B40" t="inlineStr">
        <is>
          <t>Team 3</t>
        </is>
      </c>
      <c r="D40" t="inlineStr">
        <is>
          <t>Team 5</t>
        </is>
      </c>
      <c r="G40" t="inlineStr">
        <is>
          <t>Team 4</t>
        </is>
      </c>
      <c r="I40" t="inlineStr">
        <is>
          <t>Team 6</t>
        </is>
      </c>
    </row>
    <row r="41">
      <c r="B41" t="inlineStr">
        <is>
          <t>Ref</t>
        </is>
      </c>
      <c r="F41" t="inlineStr">
        <is>
          <t>Team 7</t>
        </is>
      </c>
      <c r="G41" t="inlineStr">
        <is>
          <t>Ref</t>
        </is>
      </c>
      <c r="K41" t="inlineStr">
        <is>
          <t>Team 8</t>
        </is>
      </c>
      <c r="L41" t="inlineStr">
        <is>
          <t>Off: Team 1, Team 2</t>
        </is>
      </c>
    </row>
    <row r="42">
      <c r="A42" t="inlineStr">
        <is>
          <t>Team Wins/Losses This Week</t>
        </is>
      </c>
    </row>
    <row r="43">
      <c r="A43" t="inlineStr">
        <is>
          <t>Team Name</t>
        </is>
      </c>
      <c r="B43" t="inlineStr">
        <is>
          <t>Wins</t>
        </is>
      </c>
      <c r="C43" t="inlineStr">
        <is>
          <t>Losses</t>
        </is>
      </c>
    </row>
    <row r="44">
      <c r="A44" t="inlineStr">
        <is>
          <t>Team 1</t>
        </is>
      </c>
      <c r="B44">
        <f>SUMIFS(C:C,B:B,"Team 1*")+SUMIFS(E:E,D:D,"Team 1*")+SUMIFS(H:H,G:G,"Team 1*")+SUMIFS(J:J,I:I,"Team 1*")</f>
        <v/>
      </c>
      <c r="C44">
        <f>SUMIFS(E:E,B:B,"Team 1*")+SUMIFS(C:C,D:D,"Team 1*")+SUMIFS(J:J,G:G,"Team 1*")+SUMIFS(H:H,I:I,"Team 1*")</f>
        <v/>
      </c>
    </row>
    <row r="45">
      <c r="A45" t="inlineStr">
        <is>
          <t>Team 2</t>
        </is>
      </c>
      <c r="B45">
        <f>SUMIFS(C:C,B:B,"Team 2*")+SUMIFS(E:E,D:D,"Team 2*")+SUMIFS(H:H,G:G,"Team 2*")+SUMIFS(J:J,I:I,"Team 2*")</f>
        <v/>
      </c>
      <c r="C45">
        <f>SUMIFS(E:E,B:B,"Team 2*")+SUMIFS(C:C,D:D,"Team 2*")+SUMIFS(J:J,G:G,"Team 2*")+SUMIFS(H:H,I:I,"Team 2*")</f>
        <v/>
      </c>
    </row>
    <row r="46">
      <c r="A46" t="inlineStr">
        <is>
          <t>Team 3</t>
        </is>
      </c>
      <c r="B46">
        <f>SUMIFS(C:C,B:B,"Team 3*")+SUMIFS(E:E,D:D,"Team 3*")+SUMIFS(H:H,G:G,"Team 3*")+SUMIFS(J:J,I:I,"Team 3*")</f>
        <v/>
      </c>
      <c r="C46">
        <f>SUMIFS(E:E,B:B,"Team 3*")+SUMIFS(C:C,D:D,"Team 3*")+SUMIFS(J:J,G:G,"Team 3*")+SUMIFS(H:H,I:I,"Team 3*")</f>
        <v/>
      </c>
    </row>
    <row r="47">
      <c r="A47" t="inlineStr">
        <is>
          <t>Team 4</t>
        </is>
      </c>
      <c r="B47">
        <f>SUMIFS(C:C,B:B,"Team 4*")+SUMIFS(E:E,D:D,"Team 4*")+SUMIFS(H:H,G:G,"Team 4*")+SUMIFS(J:J,I:I,"Team 4*")</f>
        <v/>
      </c>
      <c r="C47">
        <f>SUMIFS(E:E,B:B,"Team 4*")+SUMIFS(C:C,D:D,"Team 4*")+SUMIFS(J:J,G:G,"Team 4*")+SUMIFS(H:H,I:I,"Team 4*")</f>
        <v/>
      </c>
    </row>
    <row r="48">
      <c r="A48" t="inlineStr">
        <is>
          <t>Team 5</t>
        </is>
      </c>
      <c r="B48">
        <f>SUMIFS(C:C,B:B,"Team 5*")+SUMIFS(E:E,D:D,"Team 5*")+SUMIFS(H:H,G:G,"Team 5*")+SUMIFS(J:J,I:I,"Team 5*")</f>
        <v/>
      </c>
      <c r="C48">
        <f>SUMIFS(E:E,B:B,"Team 5*")+SUMIFS(C:C,D:D,"Team 5*")+SUMIFS(J:J,G:G,"Team 5*")+SUMIFS(H:H,I:I,"Team 5*")</f>
        <v/>
      </c>
    </row>
    <row r="49">
      <c r="A49" t="inlineStr">
        <is>
          <t>Team 6</t>
        </is>
      </c>
      <c r="B49">
        <f>SUMIFS(C:C,B:B,"Team 6*")+SUMIFS(E:E,D:D,"Team 6*")+SUMIFS(H:H,G:G,"Team 6*")+SUMIFS(J:J,I:I,"Team 6*")</f>
        <v/>
      </c>
      <c r="C49">
        <f>SUMIFS(E:E,B:B,"Team 6*")+SUMIFS(C:C,D:D,"Team 6*")+SUMIFS(J:J,G:G,"Team 6*")+SUMIFS(H:H,I:I,"Team 6*")</f>
        <v/>
      </c>
    </row>
    <row r="50">
      <c r="A50" t="inlineStr">
        <is>
          <t>Team 7</t>
        </is>
      </c>
      <c r="B50">
        <f>SUMIFS(C:C,B:B,"Team 7*")+SUMIFS(E:E,D:D,"Team 7*")+SUMIFS(H:H,G:G,"Team 7*")+SUMIFS(J:J,I:I,"Team 7*")</f>
        <v/>
      </c>
      <c r="C50">
        <f>SUMIFS(E:E,B:B,"Team 7*")+SUMIFS(C:C,D:D,"Team 7*")+SUMIFS(J:J,G:G,"Team 7*")+SUMIFS(H:H,I:I,"Team 7*")</f>
        <v/>
      </c>
    </row>
    <row r="51">
      <c r="A51" t="inlineStr">
        <is>
          <t>Team 8</t>
        </is>
      </c>
      <c r="B51">
        <f>SUMIFS(C:C,B:B,"Team 8*")+SUMIFS(E:E,D:D,"Team 8*")+SUMIFS(H:H,G:G,"Team 8*")+SUMIFS(J:J,I:I,"Team 8*")</f>
        <v/>
      </c>
      <c r="C51">
        <f>SUMIFS(E:E,B:B,"Team 8*")+SUMIFS(C:C,D:D,"Team 8*")+SUMIFS(J:J,G:G,"Team 8*")+SUMIFS(H:H,I:I,"Team 8*")</f>
        <v/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Court 1</t>
        </is>
      </c>
      <c r="G1" t="inlineStr">
        <is>
          <t>Court 2</t>
        </is>
      </c>
    </row>
    <row r="2">
      <c r="A2" t="inlineStr">
        <is>
          <t>Round 01</t>
        </is>
      </c>
      <c r="B2" t="inlineStr">
        <is>
          <t>Team 1</t>
        </is>
      </c>
      <c r="D2" t="inlineStr">
        <is>
          <t>Team 2</t>
        </is>
      </c>
      <c r="G2" t="inlineStr">
        <is>
          <t>Team 3</t>
        </is>
      </c>
      <c r="I2" t="inlineStr">
        <is>
          <t>Team 4</t>
        </is>
      </c>
    </row>
    <row r="3">
      <c r="B3" t="inlineStr">
        <is>
          <t>Ref</t>
        </is>
      </c>
      <c r="F3" t="inlineStr">
        <is>
          <t>Team 5</t>
        </is>
      </c>
      <c r="G3" t="inlineStr">
        <is>
          <t>Ref</t>
        </is>
      </c>
      <c r="K3" t="inlineStr">
        <is>
          <t>Team 6</t>
        </is>
      </c>
      <c r="L3" t="inlineStr">
        <is>
          <t>Off: Team 7, Team 8</t>
        </is>
      </c>
    </row>
    <row r="4">
      <c r="A4" t="inlineStr">
        <is>
          <t>Round 02</t>
        </is>
      </c>
      <c r="B4" t="inlineStr">
        <is>
          <t>Team 5</t>
        </is>
      </c>
      <c r="D4" t="inlineStr">
        <is>
          <t>Team 6</t>
        </is>
      </c>
      <c r="G4" t="inlineStr">
        <is>
          <t>Team 7</t>
        </is>
      </c>
      <c r="I4" t="inlineStr">
        <is>
          <t>Team 8</t>
        </is>
      </c>
    </row>
    <row r="5">
      <c r="B5" t="inlineStr">
        <is>
          <t>Ref</t>
        </is>
      </c>
      <c r="F5" t="inlineStr">
        <is>
          <t>Team 1</t>
        </is>
      </c>
      <c r="G5" t="inlineStr">
        <is>
          <t>Ref</t>
        </is>
      </c>
      <c r="K5" t="inlineStr">
        <is>
          <t>Team 2</t>
        </is>
      </c>
      <c r="L5" t="inlineStr">
        <is>
          <t>Off: Team 3, Team 4</t>
        </is>
      </c>
    </row>
    <row r="6">
      <c r="A6" t="inlineStr">
        <is>
          <t>Round 03</t>
        </is>
      </c>
      <c r="B6" t="inlineStr">
        <is>
          <t>Team 1</t>
        </is>
      </c>
      <c r="D6" t="inlineStr">
        <is>
          <t>Team 3</t>
        </is>
      </c>
      <c r="G6" t="inlineStr">
        <is>
          <t>Team 2</t>
        </is>
      </c>
      <c r="I6" t="inlineStr">
        <is>
          <t>Team 4</t>
        </is>
      </c>
    </row>
    <row r="7">
      <c r="B7" t="inlineStr">
        <is>
          <t>Ref</t>
        </is>
      </c>
      <c r="F7" t="inlineStr">
        <is>
          <t>Team 7</t>
        </is>
      </c>
      <c r="G7" t="inlineStr">
        <is>
          <t>Ref</t>
        </is>
      </c>
      <c r="K7" t="inlineStr">
        <is>
          <t>Team 8</t>
        </is>
      </c>
      <c r="L7" t="inlineStr">
        <is>
          <t>Off: Team 5, Team 6</t>
        </is>
      </c>
    </row>
    <row r="8">
      <c r="A8" t="inlineStr">
        <is>
          <t>Round 04</t>
        </is>
      </c>
      <c r="B8" t="inlineStr">
        <is>
          <t>Team 5</t>
        </is>
      </c>
      <c r="D8" t="inlineStr">
        <is>
          <t>Team 7</t>
        </is>
      </c>
      <c r="G8" t="inlineStr">
        <is>
          <t>Team 6</t>
        </is>
      </c>
      <c r="I8" t="inlineStr">
        <is>
          <t>Team 8</t>
        </is>
      </c>
    </row>
    <row r="9">
      <c r="B9" t="inlineStr">
        <is>
          <t>Ref</t>
        </is>
      </c>
      <c r="F9" t="inlineStr">
        <is>
          <t>Team 3</t>
        </is>
      </c>
      <c r="G9" t="inlineStr">
        <is>
          <t>Ref</t>
        </is>
      </c>
      <c r="K9" t="inlineStr">
        <is>
          <t>Team 4</t>
        </is>
      </c>
      <c r="L9" t="inlineStr">
        <is>
          <t>Off: Team 1, Team 2</t>
        </is>
      </c>
    </row>
    <row r="10">
      <c r="A10" t="inlineStr">
        <is>
          <t>Round 05</t>
        </is>
      </c>
      <c r="B10" t="inlineStr">
        <is>
          <t>Team 1</t>
        </is>
      </c>
      <c r="D10" t="inlineStr">
        <is>
          <t>Team 3</t>
        </is>
      </c>
      <c r="G10" t="inlineStr">
        <is>
          <t>Team 4</t>
        </is>
      </c>
      <c r="I10" t="inlineStr">
        <is>
          <t>Team 2</t>
        </is>
      </c>
    </row>
    <row r="11">
      <c r="B11" t="inlineStr">
        <is>
          <t>Ref</t>
        </is>
      </c>
      <c r="F11" t="inlineStr">
        <is>
          <t>Team 5</t>
        </is>
      </c>
      <c r="G11" t="inlineStr">
        <is>
          <t>Ref</t>
        </is>
      </c>
      <c r="K11" t="inlineStr">
        <is>
          <t>Team 6</t>
        </is>
      </c>
      <c r="L11" t="inlineStr">
        <is>
          <t>Off: Team 7, Team 8</t>
        </is>
      </c>
    </row>
    <row r="12">
      <c r="A12" t="inlineStr">
        <is>
          <t>Round 06</t>
        </is>
      </c>
      <c r="B12" t="inlineStr">
        <is>
          <t>Team 7</t>
        </is>
      </c>
      <c r="D12" t="inlineStr">
        <is>
          <t>Team 5</t>
        </is>
      </c>
      <c r="G12" t="inlineStr">
        <is>
          <t>Team 8</t>
        </is>
      </c>
      <c r="I12" t="inlineStr">
        <is>
          <t>Team 6</t>
        </is>
      </c>
    </row>
    <row r="13">
      <c r="B13" t="inlineStr">
        <is>
          <t>Ref</t>
        </is>
      </c>
      <c r="F13" t="inlineStr">
        <is>
          <t>Team 1</t>
        </is>
      </c>
      <c r="G13" t="inlineStr">
        <is>
          <t>Ref</t>
        </is>
      </c>
      <c r="K13" t="inlineStr">
        <is>
          <t>Team 2</t>
        </is>
      </c>
      <c r="L13" t="inlineStr">
        <is>
          <t>Off: Team 3, Team 4</t>
        </is>
      </c>
    </row>
    <row r="14">
      <c r="A14" t="inlineStr">
        <is>
          <t>Round 07</t>
        </is>
      </c>
      <c r="B14" t="inlineStr">
        <is>
          <t>Team 4</t>
        </is>
      </c>
      <c r="D14" t="inlineStr">
        <is>
          <t>Team 1</t>
        </is>
      </c>
      <c r="G14" t="inlineStr">
        <is>
          <t>Team 3</t>
        </is>
      </c>
      <c r="I14" t="inlineStr">
        <is>
          <t>Team 2</t>
        </is>
      </c>
    </row>
    <row r="15">
      <c r="B15" t="inlineStr">
        <is>
          <t>Ref</t>
        </is>
      </c>
      <c r="F15" t="inlineStr">
        <is>
          <t>Team 7</t>
        </is>
      </c>
      <c r="G15" t="inlineStr">
        <is>
          <t>Ref</t>
        </is>
      </c>
      <c r="K15" t="inlineStr">
        <is>
          <t>Team 8</t>
        </is>
      </c>
      <c r="L15" t="inlineStr">
        <is>
          <t>Off: Team 5, Team 6</t>
        </is>
      </c>
    </row>
    <row r="16">
      <c r="A16" t="inlineStr">
        <is>
          <t>Round 08</t>
        </is>
      </c>
      <c r="B16" t="inlineStr">
        <is>
          <t>Team 8</t>
        </is>
      </c>
      <c r="D16" t="inlineStr">
        <is>
          <t>Team 5</t>
        </is>
      </c>
      <c r="G16" t="inlineStr">
        <is>
          <t>Team 7</t>
        </is>
      </c>
      <c r="I16" t="inlineStr">
        <is>
          <t>Team 6</t>
        </is>
      </c>
    </row>
    <row r="17">
      <c r="B17" t="inlineStr">
        <is>
          <t>Ref</t>
        </is>
      </c>
      <c r="F17" t="inlineStr">
        <is>
          <t>Team 3</t>
        </is>
      </c>
      <c r="G17" t="inlineStr">
        <is>
          <t>Ref</t>
        </is>
      </c>
      <c r="K17" t="inlineStr">
        <is>
          <t>Team 4</t>
        </is>
      </c>
      <c r="L17" t="inlineStr">
        <is>
          <t>Off: Team 1, Team 2</t>
        </is>
      </c>
    </row>
    <row r="18">
      <c r="A18" t="inlineStr">
        <is>
          <t>Round 09</t>
        </is>
      </c>
      <c r="B18" t="inlineStr">
        <is>
          <t>Team 1</t>
        </is>
      </c>
      <c r="D18" t="inlineStr">
        <is>
          <t>Team 4</t>
        </is>
      </c>
      <c r="G18" t="inlineStr">
        <is>
          <t>Team 2</t>
        </is>
      </c>
      <c r="I18" t="inlineStr">
        <is>
          <t>Team 3</t>
        </is>
      </c>
    </row>
    <row r="19">
      <c r="B19" t="inlineStr">
        <is>
          <t>Ref</t>
        </is>
      </c>
      <c r="F19" t="inlineStr">
        <is>
          <t>Team 5</t>
        </is>
      </c>
      <c r="G19" t="inlineStr">
        <is>
          <t>Ref</t>
        </is>
      </c>
      <c r="K19" t="inlineStr">
        <is>
          <t>Team 6</t>
        </is>
      </c>
      <c r="L19" t="inlineStr">
        <is>
          <t>Off: Team 7, Team 8</t>
        </is>
      </c>
    </row>
    <row r="20">
      <c r="A20" t="inlineStr">
        <is>
          <t>Round 10</t>
        </is>
      </c>
      <c r="B20" t="inlineStr">
        <is>
          <t>Team 5</t>
        </is>
      </c>
      <c r="D20" t="inlineStr">
        <is>
          <t>Team 8</t>
        </is>
      </c>
      <c r="G20" t="inlineStr">
        <is>
          <t>Team 6</t>
        </is>
      </c>
      <c r="I20" t="inlineStr">
        <is>
          <t>Team 7</t>
        </is>
      </c>
    </row>
    <row r="21">
      <c r="B21" t="inlineStr">
        <is>
          <t>Ref</t>
        </is>
      </c>
      <c r="F21" t="inlineStr">
        <is>
          <t>Team 1</t>
        </is>
      </c>
      <c r="G21" t="inlineStr">
        <is>
          <t>Ref</t>
        </is>
      </c>
      <c r="K21" t="inlineStr">
        <is>
          <t>Team 2</t>
        </is>
      </c>
      <c r="L21" t="inlineStr">
        <is>
          <t>Off: Team 3, Team 4</t>
        </is>
      </c>
    </row>
    <row r="22">
      <c r="A22" t="inlineStr">
        <is>
          <t>Round 11</t>
        </is>
      </c>
      <c r="B22" t="inlineStr">
        <is>
          <t>Team 1</t>
        </is>
      </c>
      <c r="D22" t="inlineStr">
        <is>
          <t>Team 5</t>
        </is>
      </c>
      <c r="G22" t="inlineStr">
        <is>
          <t>Team 2</t>
        </is>
      </c>
      <c r="I22" t="inlineStr">
        <is>
          <t>Team 6</t>
        </is>
      </c>
    </row>
    <row r="23">
      <c r="B23" t="inlineStr">
        <is>
          <t>Ref</t>
        </is>
      </c>
      <c r="F23" t="inlineStr">
        <is>
          <t>Team 3</t>
        </is>
      </c>
      <c r="G23" t="inlineStr">
        <is>
          <t>Ref</t>
        </is>
      </c>
      <c r="K23" t="inlineStr">
        <is>
          <t>Team 4</t>
        </is>
      </c>
      <c r="L23" t="inlineStr">
        <is>
          <t>Off: Team 7, Team 8</t>
        </is>
      </c>
    </row>
    <row r="24">
      <c r="A24" t="inlineStr">
        <is>
          <t>Round 12</t>
        </is>
      </c>
      <c r="B24" t="inlineStr">
        <is>
          <t>Team 3</t>
        </is>
      </c>
      <c r="D24" t="inlineStr">
        <is>
          <t>Team 7</t>
        </is>
      </c>
      <c r="G24" t="inlineStr">
        <is>
          <t>Team 4</t>
        </is>
      </c>
      <c r="I24" t="inlineStr">
        <is>
          <t>Team 8</t>
        </is>
      </c>
    </row>
    <row r="25">
      <c r="B25" t="inlineStr">
        <is>
          <t>Ref</t>
        </is>
      </c>
      <c r="F25" t="inlineStr">
        <is>
          <t>Team 1</t>
        </is>
      </c>
      <c r="G25" t="inlineStr">
        <is>
          <t>Ref</t>
        </is>
      </c>
      <c r="K25" t="inlineStr">
        <is>
          <t>Team 2</t>
        </is>
      </c>
      <c r="L25" t="inlineStr">
        <is>
          <t>Off: Team 5, Team 6</t>
        </is>
      </c>
    </row>
    <row r="26">
      <c r="A26" t="inlineStr">
        <is>
          <t>Round 13</t>
        </is>
      </c>
      <c r="B26" t="inlineStr">
        <is>
          <t>Team 5</t>
        </is>
      </c>
      <c r="D26" t="inlineStr">
        <is>
          <t>Team 1</t>
        </is>
      </c>
      <c r="G26" t="inlineStr">
        <is>
          <t>Team 6</t>
        </is>
      </c>
      <c r="I26" t="inlineStr">
        <is>
          <t>Team 2</t>
        </is>
      </c>
    </row>
    <row r="27">
      <c r="B27" t="inlineStr">
        <is>
          <t>Ref</t>
        </is>
      </c>
      <c r="F27" t="inlineStr">
        <is>
          <t>Team 7</t>
        </is>
      </c>
      <c r="G27" t="inlineStr">
        <is>
          <t>Ref</t>
        </is>
      </c>
      <c r="K27" t="inlineStr">
        <is>
          <t>Team 8</t>
        </is>
      </c>
      <c r="L27" t="inlineStr">
        <is>
          <t>Off: Team 3, Team 4</t>
        </is>
      </c>
    </row>
    <row r="28">
      <c r="A28" t="inlineStr">
        <is>
          <t>Round 14</t>
        </is>
      </c>
      <c r="B28" t="inlineStr">
        <is>
          <t>Team 7</t>
        </is>
      </c>
      <c r="D28" t="inlineStr">
        <is>
          <t>Team 3</t>
        </is>
      </c>
      <c r="G28" t="inlineStr">
        <is>
          <t>Team 8</t>
        </is>
      </c>
      <c r="I28" t="inlineStr">
        <is>
          <t>Team 4</t>
        </is>
      </c>
    </row>
    <row r="29">
      <c r="B29" t="inlineStr">
        <is>
          <t>Ref</t>
        </is>
      </c>
      <c r="F29" t="inlineStr">
        <is>
          <t>Team 5</t>
        </is>
      </c>
      <c r="G29" t="inlineStr">
        <is>
          <t>Ref</t>
        </is>
      </c>
      <c r="K29" t="inlineStr">
        <is>
          <t>Team 6</t>
        </is>
      </c>
      <c r="L29" t="inlineStr">
        <is>
          <t>Off: Team 1, Team 2</t>
        </is>
      </c>
    </row>
    <row r="30">
      <c r="A30" t="inlineStr">
        <is>
          <t>Round 15</t>
        </is>
      </c>
      <c r="B30" t="inlineStr">
        <is>
          <t>Team 6</t>
        </is>
      </c>
      <c r="D30" t="inlineStr">
        <is>
          <t>Team 1</t>
        </is>
      </c>
      <c r="G30" t="inlineStr">
        <is>
          <t>Team 2</t>
        </is>
      </c>
      <c r="I30" t="inlineStr">
        <is>
          <t>Team 5</t>
        </is>
      </c>
    </row>
    <row r="31">
      <c r="B31" t="inlineStr">
        <is>
          <t>Ref</t>
        </is>
      </c>
      <c r="F31" t="inlineStr">
        <is>
          <t>Team 3</t>
        </is>
      </c>
      <c r="G31" t="inlineStr">
        <is>
          <t>Ref</t>
        </is>
      </c>
      <c r="K31" t="inlineStr">
        <is>
          <t>Team 4</t>
        </is>
      </c>
      <c r="L31" t="inlineStr">
        <is>
          <t>Off: Team 7, Team 8</t>
        </is>
      </c>
    </row>
    <row r="32">
      <c r="A32" t="inlineStr">
        <is>
          <t>Round 16</t>
        </is>
      </c>
      <c r="B32" t="inlineStr">
        <is>
          <t>Team 3</t>
        </is>
      </c>
      <c r="D32" t="inlineStr">
        <is>
          <t>Team 8</t>
        </is>
      </c>
      <c r="G32" t="inlineStr">
        <is>
          <t>Team 4</t>
        </is>
      </c>
      <c r="I32" t="inlineStr">
        <is>
          <t>Team 7</t>
        </is>
      </c>
    </row>
    <row r="33">
      <c r="B33" t="inlineStr">
        <is>
          <t>Ref</t>
        </is>
      </c>
      <c r="F33" t="inlineStr">
        <is>
          <t>Team 1</t>
        </is>
      </c>
      <c r="G33" t="inlineStr">
        <is>
          <t>Ref</t>
        </is>
      </c>
      <c r="K33" t="inlineStr">
        <is>
          <t>Team 2</t>
        </is>
      </c>
      <c r="L33" t="inlineStr">
        <is>
          <t>Off: Team 5, Team 6</t>
        </is>
      </c>
    </row>
    <row r="34">
      <c r="A34" t="inlineStr">
        <is>
          <t>Round 17</t>
        </is>
      </c>
      <c r="B34" t="inlineStr">
        <is>
          <t>Team 7</t>
        </is>
      </c>
      <c r="D34" t="inlineStr">
        <is>
          <t>Team 1</t>
        </is>
      </c>
      <c r="G34" t="inlineStr">
        <is>
          <t>Team 8</t>
        </is>
      </c>
      <c r="I34" t="inlineStr">
        <is>
          <t>Team 2</t>
        </is>
      </c>
    </row>
    <row r="35">
      <c r="B35" t="inlineStr">
        <is>
          <t>Ref</t>
        </is>
      </c>
      <c r="F35" t="inlineStr">
        <is>
          <t>Team 3</t>
        </is>
      </c>
      <c r="G35" t="inlineStr">
        <is>
          <t>Ref</t>
        </is>
      </c>
      <c r="K35" t="inlineStr">
        <is>
          <t>Team 4</t>
        </is>
      </c>
      <c r="L35" t="inlineStr">
        <is>
          <t>Off: Team 5, Team 6</t>
        </is>
      </c>
    </row>
    <row r="36">
      <c r="A36" t="inlineStr">
        <is>
          <t>Round 18</t>
        </is>
      </c>
      <c r="B36" t="inlineStr">
        <is>
          <t>Team 5</t>
        </is>
      </c>
      <c r="D36" t="inlineStr">
        <is>
          <t>Team 3</t>
        </is>
      </c>
      <c r="G36" t="inlineStr">
        <is>
          <t>Team 6</t>
        </is>
      </c>
      <c r="I36" t="inlineStr">
        <is>
          <t>Team 4</t>
        </is>
      </c>
    </row>
    <row r="37">
      <c r="B37" t="inlineStr">
        <is>
          <t>Ref</t>
        </is>
      </c>
      <c r="F37" t="inlineStr">
        <is>
          <t>Team 7</t>
        </is>
      </c>
      <c r="G37" t="inlineStr">
        <is>
          <t>Ref</t>
        </is>
      </c>
      <c r="K37" t="inlineStr">
        <is>
          <t>Team 8</t>
        </is>
      </c>
      <c r="L37" t="inlineStr">
        <is>
          <t>Off: Team 1, Team 2</t>
        </is>
      </c>
    </row>
    <row r="38">
      <c r="A38" t="inlineStr">
        <is>
          <t>Round 19</t>
        </is>
      </c>
      <c r="B38" t="inlineStr">
        <is>
          <t>Team 8</t>
        </is>
      </c>
      <c r="D38" t="inlineStr">
        <is>
          <t>Team 1</t>
        </is>
      </c>
      <c r="G38" t="inlineStr">
        <is>
          <t>Team 2</t>
        </is>
      </c>
      <c r="I38" t="inlineStr">
        <is>
          <t>Team 7</t>
        </is>
      </c>
    </row>
    <row r="39">
      <c r="B39" t="inlineStr">
        <is>
          <t>Ref</t>
        </is>
      </c>
      <c r="F39" t="inlineStr">
        <is>
          <t>Team 5</t>
        </is>
      </c>
      <c r="G39" t="inlineStr">
        <is>
          <t>Ref</t>
        </is>
      </c>
      <c r="K39" t="inlineStr">
        <is>
          <t>Team 6</t>
        </is>
      </c>
      <c r="L39" t="inlineStr">
        <is>
          <t>Off: Team 3, Team 4</t>
        </is>
      </c>
    </row>
    <row r="40">
      <c r="A40" t="inlineStr">
        <is>
          <t>Round 20</t>
        </is>
      </c>
      <c r="B40" t="inlineStr">
        <is>
          <t>Team 3</t>
        </is>
      </c>
      <c r="D40" t="inlineStr">
        <is>
          <t>Team 6</t>
        </is>
      </c>
      <c r="G40" t="inlineStr">
        <is>
          <t>Team 4</t>
        </is>
      </c>
      <c r="I40" t="inlineStr">
        <is>
          <t>Team 5</t>
        </is>
      </c>
    </row>
    <row r="41">
      <c r="B41" t="inlineStr">
        <is>
          <t>Ref</t>
        </is>
      </c>
      <c r="F41" t="inlineStr">
        <is>
          <t>Team 7</t>
        </is>
      </c>
      <c r="G41" t="inlineStr">
        <is>
          <t>Ref</t>
        </is>
      </c>
      <c r="K41" t="inlineStr">
        <is>
          <t>Team 8</t>
        </is>
      </c>
      <c r="L41" t="inlineStr">
        <is>
          <t>Off: Team 1, Team 2</t>
        </is>
      </c>
    </row>
    <row r="42">
      <c r="A42" t="inlineStr">
        <is>
          <t>Team Wins/Losses This Week</t>
        </is>
      </c>
    </row>
    <row r="43">
      <c r="A43" t="inlineStr">
        <is>
          <t>Team Name</t>
        </is>
      </c>
      <c r="B43" t="inlineStr">
        <is>
          <t>Wins</t>
        </is>
      </c>
      <c r="C43" t="inlineStr">
        <is>
          <t>Losses</t>
        </is>
      </c>
    </row>
    <row r="44">
      <c r="A44" t="inlineStr">
        <is>
          <t>Team 1</t>
        </is>
      </c>
      <c r="B44">
        <f>SUMIFS(C:C,B:B,"Team 1*")+SUMIFS(E:E,D:D,"Team 1*")+SUMIFS(H:H,G:G,"Team 1*")+SUMIFS(J:J,I:I,"Team 1*")</f>
        <v/>
      </c>
      <c r="C44">
        <f>SUMIFS(E:E,B:B,"Team 1*")+SUMIFS(C:C,D:D,"Team 1*")+SUMIFS(J:J,G:G,"Team 1*")+SUMIFS(H:H,I:I,"Team 1*")</f>
        <v/>
      </c>
    </row>
    <row r="45">
      <c r="A45" t="inlineStr">
        <is>
          <t>Team 2</t>
        </is>
      </c>
      <c r="B45">
        <f>SUMIFS(C:C,B:B,"Team 2*")+SUMIFS(E:E,D:D,"Team 2*")+SUMIFS(H:H,G:G,"Team 2*")+SUMIFS(J:J,I:I,"Team 2*")</f>
        <v/>
      </c>
      <c r="C45">
        <f>SUMIFS(E:E,B:B,"Team 2*")+SUMIFS(C:C,D:D,"Team 2*")+SUMIFS(J:J,G:G,"Team 2*")+SUMIFS(H:H,I:I,"Team 2*")</f>
        <v/>
      </c>
    </row>
    <row r="46">
      <c r="A46" t="inlineStr">
        <is>
          <t>Team 3</t>
        </is>
      </c>
      <c r="B46">
        <f>SUMIFS(C:C,B:B,"Team 3*")+SUMIFS(E:E,D:D,"Team 3*")+SUMIFS(H:H,G:G,"Team 3*")+SUMIFS(J:J,I:I,"Team 3*")</f>
        <v/>
      </c>
      <c r="C46">
        <f>SUMIFS(E:E,B:B,"Team 3*")+SUMIFS(C:C,D:D,"Team 3*")+SUMIFS(J:J,G:G,"Team 3*")+SUMIFS(H:H,I:I,"Team 3*")</f>
        <v/>
      </c>
    </row>
    <row r="47">
      <c r="A47" t="inlineStr">
        <is>
          <t>Team 4</t>
        </is>
      </c>
      <c r="B47">
        <f>SUMIFS(C:C,B:B,"Team 4*")+SUMIFS(E:E,D:D,"Team 4*")+SUMIFS(H:H,G:G,"Team 4*")+SUMIFS(J:J,I:I,"Team 4*")</f>
        <v/>
      </c>
      <c r="C47">
        <f>SUMIFS(E:E,B:B,"Team 4*")+SUMIFS(C:C,D:D,"Team 4*")+SUMIFS(J:J,G:G,"Team 4*")+SUMIFS(H:H,I:I,"Team 4*")</f>
        <v/>
      </c>
    </row>
    <row r="48">
      <c r="A48" t="inlineStr">
        <is>
          <t>Team 5</t>
        </is>
      </c>
      <c r="B48">
        <f>SUMIFS(C:C,B:B,"Team 5*")+SUMIFS(E:E,D:D,"Team 5*")+SUMIFS(H:H,G:G,"Team 5*")+SUMIFS(J:J,I:I,"Team 5*")</f>
        <v/>
      </c>
      <c r="C48">
        <f>SUMIFS(E:E,B:B,"Team 5*")+SUMIFS(C:C,D:D,"Team 5*")+SUMIFS(J:J,G:G,"Team 5*")+SUMIFS(H:H,I:I,"Team 5*")</f>
        <v/>
      </c>
    </row>
    <row r="49">
      <c r="A49" t="inlineStr">
        <is>
          <t>Team 6</t>
        </is>
      </c>
      <c r="B49">
        <f>SUMIFS(C:C,B:B,"Team 6*")+SUMIFS(E:E,D:D,"Team 6*")+SUMIFS(H:H,G:G,"Team 6*")+SUMIFS(J:J,I:I,"Team 6*")</f>
        <v/>
      </c>
      <c r="C49">
        <f>SUMIFS(E:E,B:B,"Team 6*")+SUMIFS(C:C,D:D,"Team 6*")+SUMIFS(J:J,G:G,"Team 6*")+SUMIFS(H:H,I:I,"Team 6*")</f>
        <v/>
      </c>
    </row>
    <row r="50">
      <c r="A50" t="inlineStr">
        <is>
          <t>Team 7</t>
        </is>
      </c>
      <c r="B50">
        <f>SUMIFS(C:C,B:B,"Team 7*")+SUMIFS(E:E,D:D,"Team 7*")+SUMIFS(H:H,G:G,"Team 7*")+SUMIFS(J:J,I:I,"Team 7*")</f>
        <v/>
      </c>
      <c r="C50">
        <f>SUMIFS(E:E,B:B,"Team 7*")+SUMIFS(C:C,D:D,"Team 7*")+SUMIFS(J:J,G:G,"Team 7*")+SUMIFS(H:H,I:I,"Team 7*")</f>
        <v/>
      </c>
    </row>
    <row r="51">
      <c r="A51" t="inlineStr">
        <is>
          <t>Team 8</t>
        </is>
      </c>
      <c r="B51">
        <f>SUMIFS(C:C,B:B,"Team 8*")+SUMIFS(E:E,D:D,"Team 8*")+SUMIFS(H:H,G:G,"Team 8*")+SUMIFS(J:J,I:I,"Team 8*")</f>
        <v/>
      </c>
      <c r="C51">
        <f>SUMIFS(E:E,B:B,"Team 8*")+SUMIFS(C:C,D:D,"Team 8*")+SUMIFS(J:J,G:G,"Team 8*")+SUMIFS(H:H,I:I,"Team 8*")</f>
        <v/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2026-08-21T02:54:15Z</dcterms:created>
  <dcterms:modified xsi:type="dcterms:W3CDTF">2026-08-21T02:54:15Z</dcterms:modified>
</cp:coreProperties>
</file>